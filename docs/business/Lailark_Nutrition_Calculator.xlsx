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tabase" sheetId="1" state="visible" r:id="rId1"/>
    <sheet xmlns:r="http://schemas.openxmlformats.org/officeDocument/2006/relationships" name="Recipe" sheetId="2" state="visible" r:id="rId2"/>
    <sheet xmlns:r="http://schemas.openxmlformats.org/officeDocument/2006/relationships" name="Label" sheetId="3" state="visible" r:id="rId3"/>
    <sheet xmlns:r="http://schemas.openxmlformats.org/officeDocument/2006/relationships" name="Costing"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0.0"/>
    <numFmt numFmtId="166" formatCode="0.0%"/>
  </numFmts>
  <fonts count="2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color rgb="FF000000"/>
      <sz val="10"/>
    </font>
    <font>
      <name val="Arial"/>
      <charset val="1"/>
      <family val="0"/>
      <color rgb="FF0000FF"/>
      <sz val="10"/>
    </font>
    <font>
      <name val="Arial"/>
      <charset val="1"/>
      <family val="0"/>
      <b val="1"/>
      <color rgb="FF000000"/>
      <sz val="11"/>
    </font>
    <font>
      <name val="Arial"/>
      <charset val="1"/>
      <family val="0"/>
      <b val="1"/>
      <color rgb="FF000000"/>
      <sz val="14"/>
    </font>
    <font>
      <name val="Arial"/>
      <charset val="1"/>
      <family val="0"/>
      <i val="1"/>
      <color rgb="FF000000"/>
      <sz val="10"/>
    </font>
    <font>
      <name val="Arial"/>
      <charset val="1"/>
      <family val="0"/>
      <b val="1"/>
      <color rgb="FF000000"/>
      <sz val="10"/>
    </font>
    <font>
      <name val="Arial"/>
      <charset val="1"/>
      <family val="0"/>
      <i val="1"/>
      <color rgb="FF000000"/>
      <sz val="9"/>
    </font>
    <font>
      <name val="Arial"/>
      <charset val="1"/>
      <family val="0"/>
      <b val="1"/>
      <color rgb="FF008000"/>
      <sz val="10"/>
    </font>
    <font>
      <name val="Arial"/>
      <family val="2"/>
      <sz val="10"/>
    </font>
    <font>
      <name val="Arial"/>
      <charset val="1"/>
      <family val="0"/>
      <b val="1"/>
      <color rgb="FF000000"/>
      <sz val="13"/>
    </font>
    <font>
      <name val="Arial"/>
      <b val="1"/>
      <color rgb="00000000"/>
      <sz val="14"/>
    </font>
    <font>
      <name val="Arial"/>
      <i val="1"/>
      <color rgb="00000000"/>
      <sz val="10"/>
    </font>
    <font>
      <name val="Arial"/>
      <b val="1"/>
      <color rgb="00FFFFFF"/>
      <sz val="10"/>
    </font>
    <font>
      <name val="Arial"/>
      <color rgb="00008000"/>
      <sz val="10"/>
    </font>
    <font>
      <name val="Arial"/>
      <color rgb="000000FF"/>
      <sz val="10"/>
    </font>
    <font>
      <name val="Arial"/>
      <i val="1"/>
      <color rgb="00C00000"/>
      <sz val="9"/>
    </font>
    <font>
      <name val="Arial"/>
      <i val="1"/>
      <color rgb="00000000"/>
      <sz val="9"/>
    </font>
    <font>
      <name val="Arial"/>
      <color rgb="00000000"/>
      <sz val="10"/>
    </font>
    <font>
      <name val="Arial"/>
      <b val="1"/>
      <color rgb="00000000"/>
      <sz val="10"/>
    </font>
    <font>
      <name val="Arial"/>
      <b val="1"/>
      <color rgb="00000000"/>
      <sz val="11"/>
    </font>
  </fonts>
  <fills count="8">
    <fill>
      <patternFill/>
    </fill>
    <fill>
      <patternFill patternType="gray125"/>
    </fill>
    <fill>
      <patternFill patternType="solid">
        <fgColor rgb="FF1F3A2E"/>
        <bgColor rgb="FF333300"/>
      </patternFill>
    </fill>
    <fill>
      <patternFill patternType="solid">
        <fgColor rgb="FFFFFF00"/>
        <bgColor rgb="FFFFFF00"/>
      </patternFill>
    </fill>
    <fill>
      <patternFill patternType="solid">
        <fgColor rgb="FFEFF3EE"/>
        <bgColor rgb="FFFFFFFF"/>
      </patternFill>
    </fill>
    <fill>
      <patternFill patternType="solid">
        <fgColor rgb="001F3A2E"/>
      </patternFill>
    </fill>
    <fill>
      <patternFill patternType="solid">
        <fgColor rgb="00FFFF00"/>
      </patternFill>
    </fill>
    <fill>
      <patternFill patternType="solid">
        <fgColor rgb="00EFF3EE"/>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00BBBBBB"/>
      </left>
      <right style="thin">
        <color rgb="00BBBBBB"/>
      </right>
      <top style="thin">
        <color rgb="00BBBBBB"/>
      </top>
      <bottom style="thin">
        <color rgb="00BBBBB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3">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3" borderId="1" applyAlignment="1" pivotButton="0" quotePrefix="0" xfId="0">
      <alignment horizontal="general" vertical="bottom"/>
    </xf>
    <xf numFmtId="0" fontId="11" fillId="0" borderId="0" applyAlignment="1" pivotButton="0" quotePrefix="0" xfId="0">
      <alignment horizontal="general" vertical="bottom"/>
    </xf>
    <xf numFmtId="0" fontId="4" fillId="2" borderId="1" applyAlignment="1" pivotButton="0" quotePrefix="0" xfId="0">
      <alignment horizontal="center" vertical="center" wrapText="1"/>
    </xf>
    <xf numFmtId="3" fontId="6" fillId="3" borderId="1" applyAlignment="1" pivotButton="0" quotePrefix="0" xfId="0">
      <alignment horizontal="general" vertical="bottom"/>
    </xf>
    <xf numFmtId="164" fontId="5" fillId="0" borderId="1" applyAlignment="1" pivotButton="0" quotePrefix="0" xfId="0">
      <alignment horizontal="general" vertical="bottom"/>
    </xf>
    <xf numFmtId="3" fontId="10" fillId="4" borderId="1" applyAlignment="1" pivotButton="0" quotePrefix="0" xfId="0">
      <alignment horizontal="general" vertical="bottom"/>
    </xf>
    <xf numFmtId="164" fontId="10" fillId="4" borderId="1" applyAlignment="1" pivotButton="0" quotePrefix="0" xfId="0">
      <alignment horizontal="general" vertical="bottom"/>
    </xf>
    <xf numFmtId="0" fontId="12" fillId="0" borderId="0" applyAlignment="1" pivotButton="0" quotePrefix="0" xfId="0">
      <alignment horizontal="general" vertical="bottom"/>
    </xf>
    <xf numFmtId="164" fontId="12" fillId="4" borderId="1" applyAlignment="1" pivotButton="0" quotePrefix="0" xfId="0">
      <alignment horizontal="general" vertical="bottom"/>
    </xf>
    <xf numFmtId="0" fontId="5" fillId="0" borderId="0" applyAlignment="1" pivotButton="0" quotePrefix="0" xfId="0">
      <alignment horizontal="general" vertical="bottom"/>
    </xf>
    <xf numFmtId="3" fontId="10" fillId="0" borderId="1" applyAlignment="1" pivotButton="0" quotePrefix="0" xfId="0">
      <alignment horizontal="general" vertical="bottom"/>
    </xf>
    <xf numFmtId="9" fontId="10" fillId="0" borderId="1" applyAlignment="1" pivotButton="0" quotePrefix="0" xfId="0">
      <alignment horizontal="general" vertical="bottom"/>
    </xf>
    <xf numFmtId="165" fontId="10" fillId="0" borderId="1" applyAlignment="1" pivotButton="0" quotePrefix="0" xfId="0">
      <alignment horizontal="general" vertical="bottom"/>
    </xf>
    <xf numFmtId="0" fontId="10" fillId="0" borderId="1" applyAlignment="1" pivotButton="0" quotePrefix="0" xfId="0">
      <alignment horizontal="general" vertical="bottom"/>
    </xf>
    <xf numFmtId="0" fontId="9" fillId="0" borderId="0" applyAlignment="1" pivotButton="0" quotePrefix="0" xfId="0">
      <alignment horizontal="general" vertical="top" wrapText="1"/>
    </xf>
    <xf numFmtId="0" fontId="14" fillId="0" borderId="0" applyAlignment="1" pivotButton="0" quotePrefix="0" xfId="0">
      <alignment horizontal="general" vertical="bottom"/>
    </xf>
    <xf numFmtId="0" fontId="11" fillId="0" borderId="0" applyAlignment="1" pivotButton="0" quotePrefix="0" xfId="0">
      <alignment horizontal="general" vertical="bottom"/>
    </xf>
    <xf numFmtId="0" fontId="4" fillId="2" borderId="1" applyAlignment="1" pivotButton="0" quotePrefix="0" xfId="0">
      <alignment horizontal="center" vertical="bottom"/>
    </xf>
    <xf numFmtId="0" fontId="5" fillId="0" borderId="1" applyAlignment="1" pivotButton="0" quotePrefix="0" xfId="0">
      <alignment horizontal="right" vertical="bottom"/>
    </xf>
    <xf numFmtId="9" fontId="5" fillId="0" borderId="1" applyAlignment="1" pivotButton="0" quotePrefix="0" xfId="0">
      <alignment horizontal="right" vertical="bottom"/>
    </xf>
    <xf numFmtId="0" fontId="11" fillId="0" borderId="0" applyAlignment="1" pivotButton="0" quotePrefix="0" xfId="0">
      <alignment horizontal="general" vertical="top" wrapText="1"/>
    </xf>
    <xf numFmtId="9" fontId="0" fillId="0" borderId="1" applyAlignment="1" pivotButton="0" quotePrefix="0" xfId="0">
      <alignment horizontal="general" vertical="bottom"/>
    </xf>
    <xf numFmtId="166"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3" borderId="1" applyAlignment="1" pivotButton="0" quotePrefix="0" xfId="0">
      <alignment horizontal="general" vertical="bottom"/>
    </xf>
    <xf numFmtId="0" fontId="11" fillId="0" borderId="0" applyAlignment="1" pivotButton="0" quotePrefix="0" xfId="0">
      <alignment horizontal="general" vertical="bottom"/>
    </xf>
    <xf numFmtId="0" fontId="4" fillId="2" borderId="1" applyAlignment="1" pivotButton="0" quotePrefix="0" xfId="0">
      <alignment horizontal="center" vertical="center" wrapText="1"/>
    </xf>
    <xf numFmtId="3" fontId="6" fillId="3" borderId="1" applyAlignment="1" pivotButton="0" quotePrefix="0" xfId="0">
      <alignment horizontal="general" vertical="bottom"/>
    </xf>
    <xf numFmtId="164" fontId="5" fillId="0" borderId="1" applyAlignment="1" pivotButton="0" quotePrefix="0" xfId="0">
      <alignment horizontal="general" vertical="bottom"/>
    </xf>
    <xf numFmtId="3" fontId="10" fillId="4" borderId="1" applyAlignment="1" pivotButton="0" quotePrefix="0" xfId="0">
      <alignment horizontal="general" vertical="bottom"/>
    </xf>
    <xf numFmtId="164" fontId="10" fillId="4" borderId="1" applyAlignment="1" pivotButton="0" quotePrefix="0" xfId="0">
      <alignment horizontal="general" vertical="bottom"/>
    </xf>
    <xf numFmtId="0" fontId="12" fillId="0" borderId="0" applyAlignment="1" pivotButton="0" quotePrefix="0" xfId="0">
      <alignment horizontal="general" vertical="bottom"/>
    </xf>
    <xf numFmtId="164" fontId="12" fillId="4" borderId="1" applyAlignment="1" pivotButton="0" quotePrefix="0" xfId="0">
      <alignment horizontal="general" vertical="bottom"/>
    </xf>
    <xf numFmtId="0" fontId="5" fillId="0" borderId="0" applyAlignment="1" pivotButton="0" quotePrefix="0" xfId="0">
      <alignment horizontal="general" vertical="bottom"/>
    </xf>
    <xf numFmtId="3" fontId="10" fillId="0" borderId="1" applyAlignment="1" pivotButton="0" quotePrefix="0" xfId="0">
      <alignment horizontal="general" vertical="bottom"/>
    </xf>
    <xf numFmtId="9" fontId="10" fillId="0" borderId="1" applyAlignment="1" pivotButton="0" quotePrefix="0" xfId="0">
      <alignment horizontal="general" vertical="bottom"/>
    </xf>
    <xf numFmtId="165" fontId="10" fillId="0" borderId="1" applyAlignment="1" pivotButton="0" quotePrefix="0" xfId="0">
      <alignment horizontal="general" vertical="bottom"/>
    </xf>
    <xf numFmtId="0" fontId="10" fillId="0" borderId="1" applyAlignment="1" pivotButton="0" quotePrefix="0" xfId="0">
      <alignment horizontal="general" vertical="bottom"/>
    </xf>
    <xf numFmtId="0" fontId="9" fillId="0" borderId="0" applyAlignment="1" pivotButton="0" quotePrefix="0" xfId="0">
      <alignment horizontal="general" vertical="top" wrapText="1"/>
    </xf>
    <xf numFmtId="0" fontId="14" fillId="0" borderId="0" applyAlignment="1" pivotButton="0" quotePrefix="0" xfId="0">
      <alignment horizontal="general" vertical="bottom"/>
    </xf>
    <xf numFmtId="0" fontId="4" fillId="2" borderId="1" applyAlignment="1" pivotButton="0" quotePrefix="0" xfId="0">
      <alignment horizontal="center" vertical="bottom"/>
    </xf>
    <xf numFmtId="0" fontId="5" fillId="0" borderId="1" applyAlignment="1" pivotButton="0" quotePrefix="0" xfId="0">
      <alignment horizontal="right" vertical="bottom"/>
    </xf>
    <xf numFmtId="9" fontId="5" fillId="0" borderId="1" applyAlignment="1" pivotButton="0" quotePrefix="0" xfId="0">
      <alignment horizontal="right" vertical="bottom"/>
    </xf>
    <xf numFmtId="0" fontId="11" fillId="0" borderId="0" applyAlignment="1" pivotButton="0" quotePrefix="0" xfId="0">
      <alignment horizontal="general" vertical="top" wrapText="1"/>
    </xf>
    <xf numFmtId="9" fontId="0" fillId="0" borderId="1" applyAlignment="1" pivotButton="0" quotePrefix="0" xfId="0">
      <alignment horizontal="general" vertical="bottom"/>
    </xf>
    <xf numFmtId="166" fontId="5" fillId="0" borderId="1" applyAlignment="1" pivotButton="0" quotePrefix="0" xfId="0">
      <alignment horizontal="general" vertical="bottom"/>
    </xf>
    <xf numFmtId="0" fontId="15" fillId="0" borderId="0" pivotButton="0" quotePrefix="0" xfId="0"/>
    <xf numFmtId="0" fontId="16" fillId="0" borderId="0" pivotButton="0" quotePrefix="0" xfId="0"/>
    <xf numFmtId="0" fontId="17" fillId="5" borderId="2" applyAlignment="1" pivotButton="0" quotePrefix="0" xfId="0">
      <alignment horizontal="center" vertical="center" wrapText="1"/>
    </xf>
    <xf numFmtId="0" fontId="18" fillId="0" borderId="2" pivotButton="0" quotePrefix="0" xfId="0"/>
    <xf numFmtId="3" fontId="18" fillId="0" borderId="2" pivotButton="0" quotePrefix="0" xfId="0"/>
    <xf numFmtId="3" fontId="19" fillId="6" borderId="2" pivotButton="0" quotePrefix="0" xfId="0"/>
    <xf numFmtId="164" fontId="0" fillId="0" borderId="2" pivotButton="0" quotePrefix="0" xfId="0"/>
    <xf numFmtId="166" fontId="22" fillId="0" borderId="2" pivotButton="0" quotePrefix="0" xfId="0"/>
    <xf numFmtId="0" fontId="20" fillId="0" borderId="2" pivotButton="0" quotePrefix="0" xfId="0"/>
    <xf numFmtId="0" fontId="21" fillId="0" borderId="2" pivotButton="0" quotePrefix="0" xfId="0"/>
    <xf numFmtId="0" fontId="23" fillId="7" borderId="2" pivotButton="0" quotePrefix="0" xfId="0"/>
    <xf numFmtId="3" fontId="23" fillId="7" borderId="2" pivotButton="0" quotePrefix="0" xfId="0"/>
    <xf numFmtId="0" fontId="24" fillId="0" borderId="0" pivotButton="0" quotePrefix="0" xfId="0"/>
    <xf numFmtId="0" fontId="22" fillId="0" borderId="0" pivotButton="0" quotePrefix="0" xfId="0"/>
    <xf numFmtId="165" fontId="23" fillId="0" borderId="2" pivotButton="0" quotePrefix="0" xfId="0"/>
    <xf numFmtId="0" fontId="21" fillId="0" borderId="0" pivotButton="0" quotePrefix="0" xfId="0"/>
    <xf numFmtId="164" fontId="23" fillId="0" borderId="2" pivotButton="0" quotePrefix="0" xfId="0"/>
    <xf numFmtId="3" fontId="23" fillId="0" borderId="2" pivotButton="0" quotePrefix="0" xfId="0"/>
    <xf numFmtId="9" fontId="23" fillId="0" borderId="2"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EFF3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Claude</author>
    <author>Unknown Author</author>
  </authors>
  <commentList>
    <comment ref="B5" authorId="0" shapeId="0">
      <text>
        <t>Weighed batch 4,600 g (4 Sep 2026) + 500 g extra oil added after weighing = 5,100 g. Re-weigh after the oil goes in if you can.</t>
      </text>
    </comment>
    <comment ref="B12" authorId="0" shapeId="0">
      <text>
        <t>Mustard oil: 1 L (~920 g) in the cook + 500 g added after = 1,420 g. Enter oil by weight. Database row uses standard mustard oil values; replace with the figures from your oil supplier's label when you have them.</t>
      </text>
    </comment>
    <comment ref="B24" authorId="1" shapeId="0">
      <text>
        <t>Costing doc says ~100 g assumed, not confirmed. Weigh it: this cell alone sets the sodium figure.</t>
      </text>
    </comment>
    <comment ref="B26" authorId="0" shapeId="0">
      <text>
        <t>2.5 tsp turmeric powder, ~2.8 g per tsp = ~7 g. Weigh once to confirm.</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L38"/>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0" customWidth="1" style="32" min="1" max="1"/>
    <col width="13" customWidth="1" style="32" min="2" max="11"/>
    <col width="48" customWidth="1" style="32" min="12" max="12"/>
  </cols>
  <sheetData>
    <row r="1" ht="35.05" customHeight="1" s="33">
      <c r="A1" s="34" t="inlineStr">
        <is>
          <t>Ingredient</t>
        </is>
      </c>
      <c r="B1" s="34" t="inlineStr">
        <is>
          <t>Energy (kcal)</t>
        </is>
      </c>
      <c r="C1" s="34" t="inlineStr">
        <is>
          <t>Protein (g)</t>
        </is>
      </c>
      <c r="D1" s="34" t="inlineStr">
        <is>
          <t>Carbohydrate (g)</t>
        </is>
      </c>
      <c r="E1" s="34" t="inlineStr">
        <is>
          <t>Total sugars (g)</t>
        </is>
      </c>
      <c r="F1" s="34" t="inlineStr">
        <is>
          <t>Total fat (g)</t>
        </is>
      </c>
      <c r="G1" s="34" t="inlineStr">
        <is>
          <t>Saturated fat (g)</t>
        </is>
      </c>
      <c r="H1" s="34" t="inlineStr">
        <is>
          <t>Trans fat (g)</t>
        </is>
      </c>
      <c r="I1" s="34" t="inlineStr">
        <is>
          <t>Cholesterol (mg)</t>
        </is>
      </c>
      <c r="J1" s="34" t="inlineStr">
        <is>
          <t>Sodium (mg)</t>
        </is>
      </c>
      <c r="K1" s="34" t="inlineStr">
        <is>
          <t>Added-sugar ingredient? (1/0)</t>
        </is>
      </c>
      <c r="L1" s="34" t="inlineStr">
        <is>
          <t>Source / note</t>
        </is>
      </c>
    </row>
    <row r="2" ht="15" customHeight="1" s="33">
      <c r="A2" s="35" t="inlineStr">
        <is>
          <t>Prawns, fresh, cleaned</t>
        </is>
      </c>
      <c r="B2" s="36" t="n">
        <v>77</v>
      </c>
      <c r="C2" s="36" t="n">
        <v>15.3</v>
      </c>
      <c r="D2" s="36" t="n">
        <v>0.5</v>
      </c>
      <c r="E2" s="36" t="n">
        <v>0</v>
      </c>
      <c r="F2" s="36" t="n">
        <v>1.3</v>
      </c>
      <c r="G2" s="36" t="n">
        <v>0.3</v>
      </c>
      <c r="H2" s="36" t="n">
        <v>0</v>
      </c>
      <c r="I2" s="36" t="n">
        <v>150</v>
      </c>
      <c r="J2" s="36" t="n">
        <v>250</v>
      </c>
      <c r="K2" s="36" t="n">
        <v>0</v>
      </c>
      <c r="L2" s="35" t="inlineStr">
        <is>
          <t>IFCT 2017 / USDA, shrimp raw</t>
        </is>
      </c>
    </row>
    <row r="3" ht="15" customHeight="1" s="33">
      <c r="A3" s="35" t="inlineStr">
        <is>
          <t>Dates, dried</t>
        </is>
      </c>
      <c r="B3" s="36" t="n">
        <v>320</v>
      </c>
      <c r="C3" s="36" t="n">
        <v>2.5</v>
      </c>
      <c r="D3" s="36" t="n">
        <v>75</v>
      </c>
      <c r="E3" s="36" t="n">
        <v>65</v>
      </c>
      <c r="F3" s="36" t="n">
        <v>0.4</v>
      </c>
      <c r="G3" s="36" t="n">
        <v>0.1</v>
      </c>
      <c r="H3" s="36" t="n">
        <v>0</v>
      </c>
      <c r="I3" s="36" t="n">
        <v>0</v>
      </c>
      <c r="J3" s="36" t="n">
        <v>5</v>
      </c>
      <c r="K3" s="36" t="n">
        <v>0</v>
      </c>
      <c r="L3" s="35" t="inlineStr">
        <is>
          <t>IFCT 2017, dates dry (sugar intrinsic, not 'added')</t>
        </is>
      </c>
    </row>
    <row r="4" ht="15" customHeight="1" s="33">
      <c r="A4" s="35" t="inlineStr">
        <is>
          <t>Gingelly (sesame) oil</t>
        </is>
      </c>
      <c r="B4" s="36" t="n">
        <v>899</v>
      </c>
      <c r="C4" s="36" t="n">
        <v>0</v>
      </c>
      <c r="D4" s="36" t="n">
        <v>0</v>
      </c>
      <c r="E4" s="36" t="n">
        <v>0</v>
      </c>
      <c r="F4" s="36" t="n">
        <v>99.84999999999999</v>
      </c>
      <c r="G4" s="36" t="n">
        <v>14.18</v>
      </c>
      <c r="H4" s="36" t="n">
        <v>0</v>
      </c>
      <c r="I4" s="36" t="n">
        <v>0</v>
      </c>
      <c r="J4" s="36" t="n">
        <v>0</v>
      </c>
      <c r="K4" s="36" t="n">
        <v>0</v>
      </c>
      <c r="L4" s="35" t="inlineStr">
        <is>
          <t>From supplier label: RG Foods Gingelly Oil Grade II (MUFA 39.74 g, PUFA 41.71 g)</t>
        </is>
      </c>
    </row>
    <row r="5" ht="15" customHeight="1" s="33">
      <c r="A5" s="35" t="inlineStr">
        <is>
          <t>Mustard oil</t>
        </is>
      </c>
      <c r="B5" s="36" t="n">
        <v>900</v>
      </c>
      <c r="C5" s="36" t="n">
        <v>0</v>
      </c>
      <c r="D5" s="36" t="n">
        <v>0</v>
      </c>
      <c r="E5" s="36" t="n">
        <v>0</v>
      </c>
      <c r="F5" s="36" t="n">
        <v>100</v>
      </c>
      <c r="G5" s="36" t="n">
        <v>12</v>
      </c>
      <c r="H5" s="36" t="n">
        <v>0</v>
      </c>
      <c r="I5" s="36" t="n">
        <v>0</v>
      </c>
      <c r="J5" s="36" t="n">
        <v>0</v>
      </c>
      <c r="K5" s="36" t="n">
        <v>0</v>
      </c>
      <c r="L5" s="35" t="n"/>
    </row>
    <row r="6" ht="15" customHeight="1" s="33">
      <c r="A6" s="35" t="inlineStr">
        <is>
          <t>Coconut oil</t>
        </is>
      </c>
      <c r="B6" s="36" t="n">
        <v>900</v>
      </c>
      <c r="C6" s="36" t="n">
        <v>0</v>
      </c>
      <c r="D6" s="36" t="n">
        <v>0</v>
      </c>
      <c r="E6" s="36" t="n">
        <v>0</v>
      </c>
      <c r="F6" s="36" t="n">
        <v>100</v>
      </c>
      <c r="G6" s="36" t="n">
        <v>87</v>
      </c>
      <c r="H6" s="36" t="n">
        <v>0</v>
      </c>
      <c r="I6" s="36" t="n">
        <v>0</v>
      </c>
      <c r="J6" s="36" t="n">
        <v>0</v>
      </c>
      <c r="K6" s="36" t="n">
        <v>0</v>
      </c>
      <c r="L6" s="35" t="n"/>
    </row>
    <row r="7" ht="15" customHeight="1" s="33">
      <c r="A7" s="35" t="inlineStr">
        <is>
          <t>Sunflower / refined oil</t>
        </is>
      </c>
      <c r="B7" s="36" t="n">
        <v>900</v>
      </c>
      <c r="C7" s="36" t="n">
        <v>0</v>
      </c>
      <c r="D7" s="36" t="n">
        <v>0</v>
      </c>
      <c r="E7" s="36" t="n">
        <v>0</v>
      </c>
      <c r="F7" s="36" t="n">
        <v>100</v>
      </c>
      <c r="G7" s="36" t="n">
        <v>11</v>
      </c>
      <c r="H7" s="36" t="n">
        <v>0</v>
      </c>
      <c r="I7" s="36" t="n">
        <v>0</v>
      </c>
      <c r="J7" s="36" t="n">
        <v>0</v>
      </c>
      <c r="K7" s="36" t="n">
        <v>0</v>
      </c>
      <c r="L7" s="35" t="n"/>
    </row>
    <row r="8" ht="15" customHeight="1" s="33">
      <c r="A8" s="35" t="inlineStr">
        <is>
          <t>Vinegar, synthetic 4%</t>
        </is>
      </c>
      <c r="B8" s="36" t="n">
        <v>0</v>
      </c>
      <c r="C8" s="36" t="n">
        <v>0</v>
      </c>
      <c r="D8" s="36" t="n">
        <v>0</v>
      </c>
      <c r="E8" s="36" t="n">
        <v>0</v>
      </c>
      <c r="F8" s="36" t="n">
        <v>0</v>
      </c>
      <c r="G8" s="36" t="n">
        <v>0</v>
      </c>
      <c r="H8" s="36" t="n">
        <v>0</v>
      </c>
      <c r="I8" s="36" t="n">
        <v>0</v>
      </c>
      <c r="J8" s="36" t="n">
        <v>0</v>
      </c>
      <c r="K8" s="36" t="n">
        <v>0</v>
      </c>
      <c r="L8" s="35" t="inlineStr">
        <is>
          <t>Negligible nutrients; mostly evaporates</t>
        </is>
      </c>
    </row>
    <row r="9" ht="15" customHeight="1" s="33">
      <c r="A9" s="35" t="inlineStr">
        <is>
          <t>Garlic, fresh</t>
        </is>
      </c>
      <c r="B9" s="36" t="n">
        <v>140</v>
      </c>
      <c r="C9" s="36" t="n">
        <v>6.3</v>
      </c>
      <c r="D9" s="36" t="n">
        <v>28</v>
      </c>
      <c r="E9" s="36" t="n">
        <v>1.5</v>
      </c>
      <c r="F9" s="36" t="n">
        <v>0.3</v>
      </c>
      <c r="G9" s="36" t="n">
        <v>0.1</v>
      </c>
      <c r="H9" s="36" t="n">
        <v>0</v>
      </c>
      <c r="I9" s="36" t="n">
        <v>0</v>
      </c>
      <c r="J9" s="36" t="n">
        <v>15</v>
      </c>
      <c r="K9" s="36" t="n">
        <v>0</v>
      </c>
      <c r="L9" s="35" t="inlineStr">
        <is>
          <t>IFCT 2017</t>
        </is>
      </c>
    </row>
    <row r="10" ht="15" customHeight="1" s="33">
      <c r="A10" s="35" t="inlineStr">
        <is>
          <t>Green chilli, fresh</t>
        </is>
      </c>
      <c r="B10" s="36" t="n">
        <v>30</v>
      </c>
      <c r="C10" s="36" t="n">
        <v>2</v>
      </c>
      <c r="D10" s="36" t="n">
        <v>4.5</v>
      </c>
      <c r="E10" s="36" t="n">
        <v>2</v>
      </c>
      <c r="F10" s="36" t="n">
        <v>0.5</v>
      </c>
      <c r="G10" s="36" t="n">
        <v>0.1</v>
      </c>
      <c r="H10" s="36" t="n">
        <v>0</v>
      </c>
      <c r="I10" s="36" t="n">
        <v>0</v>
      </c>
      <c r="J10" s="36" t="n">
        <v>5</v>
      </c>
      <c r="K10" s="36" t="n">
        <v>0</v>
      </c>
      <c r="L10" s="35" t="inlineStr">
        <is>
          <t>IFCT 2017</t>
        </is>
      </c>
    </row>
    <row r="11" ht="15" customHeight="1" s="33">
      <c r="A11" s="35" t="inlineStr">
        <is>
          <t>Ginger, fresh</t>
        </is>
      </c>
      <c r="B11" s="36" t="n">
        <v>55</v>
      </c>
      <c r="C11" s="36" t="n">
        <v>2</v>
      </c>
      <c r="D11" s="36" t="n">
        <v>10</v>
      </c>
      <c r="E11" s="36" t="n">
        <v>1.5</v>
      </c>
      <c r="F11" s="36" t="n">
        <v>0.8</v>
      </c>
      <c r="G11" s="36" t="n">
        <v>0.2</v>
      </c>
      <c r="H11" s="36" t="n">
        <v>0</v>
      </c>
      <c r="I11" s="36" t="n">
        <v>0</v>
      </c>
      <c r="J11" s="36" t="n">
        <v>15</v>
      </c>
      <c r="K11" s="36" t="n">
        <v>0</v>
      </c>
      <c r="L11" s="35" t="inlineStr">
        <is>
          <t>IFCT 2017</t>
        </is>
      </c>
    </row>
    <row r="12" ht="15" customHeight="1" s="33">
      <c r="A12" s="35" t="inlineStr">
        <is>
          <t>Curry leaves, fresh</t>
        </is>
      </c>
      <c r="B12" s="36" t="n">
        <v>100</v>
      </c>
      <c r="C12" s="36" t="n">
        <v>6</v>
      </c>
      <c r="D12" s="36" t="n">
        <v>18</v>
      </c>
      <c r="E12" s="36" t="n">
        <v>2</v>
      </c>
      <c r="F12" s="36" t="n">
        <v>1</v>
      </c>
      <c r="G12" s="36" t="n">
        <v>0.2</v>
      </c>
      <c r="H12" s="36" t="n">
        <v>0</v>
      </c>
      <c r="I12" s="36" t="n">
        <v>0</v>
      </c>
      <c r="J12" s="36" t="n">
        <v>20</v>
      </c>
      <c r="K12" s="36" t="n">
        <v>0</v>
      </c>
      <c r="L12" s="35" t="inlineStr">
        <is>
          <t>IFCT 2017</t>
        </is>
      </c>
    </row>
    <row r="13" ht="15" customHeight="1" s="33">
      <c r="A13" s="35" t="inlineStr">
        <is>
          <t>Onion, fresh</t>
        </is>
      </c>
      <c r="B13" s="36" t="n">
        <v>40</v>
      </c>
      <c r="C13" s="36" t="n">
        <v>1.2</v>
      </c>
      <c r="D13" s="36" t="n">
        <v>9</v>
      </c>
      <c r="E13" s="36" t="n">
        <v>4</v>
      </c>
      <c r="F13" s="36" t="n">
        <v>0.1</v>
      </c>
      <c r="G13" s="36" t="n">
        <v>0</v>
      </c>
      <c r="H13" s="36" t="n">
        <v>0</v>
      </c>
      <c r="I13" s="36" t="n">
        <v>0</v>
      </c>
      <c r="J13" s="36" t="n">
        <v>4</v>
      </c>
      <c r="K13" s="36" t="n">
        <v>0</v>
      </c>
      <c r="L13" s="35" t="inlineStr">
        <is>
          <t>IFCT 2017</t>
        </is>
      </c>
    </row>
    <row r="14" ht="15" customHeight="1" s="33">
      <c r="A14" s="35" t="inlineStr">
        <is>
          <t>Red chilli powder</t>
        </is>
      </c>
      <c r="B14" s="36" t="n">
        <v>290</v>
      </c>
      <c r="C14" s="36" t="n">
        <v>12</v>
      </c>
      <c r="D14" s="36" t="n">
        <v>35</v>
      </c>
      <c r="E14" s="36" t="n">
        <v>8</v>
      </c>
      <c r="F14" s="36" t="n">
        <v>12</v>
      </c>
      <c r="G14" s="36" t="n">
        <v>2</v>
      </c>
      <c r="H14" s="36" t="n">
        <v>0</v>
      </c>
      <c r="I14" s="36" t="n">
        <v>0</v>
      </c>
      <c r="J14" s="36" t="n">
        <v>30</v>
      </c>
      <c r="K14" s="36" t="n">
        <v>0</v>
      </c>
      <c r="L14" s="35" t="inlineStr">
        <is>
          <t>IFCT 2017, chilli red dry</t>
        </is>
      </c>
    </row>
    <row r="15" ht="15" customHeight="1" s="33">
      <c r="A15" s="35" t="inlineStr">
        <is>
          <t>Kashmiri chilli powder</t>
        </is>
      </c>
      <c r="B15" s="36" t="n">
        <v>290</v>
      </c>
      <c r="C15" s="36" t="n">
        <v>12</v>
      </c>
      <c r="D15" s="36" t="n">
        <v>35</v>
      </c>
      <c r="E15" s="36" t="n">
        <v>8</v>
      </c>
      <c r="F15" s="36" t="n">
        <v>12</v>
      </c>
      <c r="G15" s="36" t="n">
        <v>2</v>
      </c>
      <c r="H15" s="36" t="n">
        <v>0</v>
      </c>
      <c r="I15" s="36" t="n">
        <v>0</v>
      </c>
      <c r="J15" s="36" t="n">
        <v>30</v>
      </c>
      <c r="K15" s="36" t="n">
        <v>0</v>
      </c>
      <c r="L15" s="35" t="inlineStr">
        <is>
          <t>Same as red chilli powder</t>
        </is>
      </c>
    </row>
    <row r="16" ht="15" customHeight="1" s="33">
      <c r="A16" s="35" t="inlineStr">
        <is>
          <t>Turmeric powder</t>
        </is>
      </c>
      <c r="B16" s="36" t="n">
        <v>320</v>
      </c>
      <c r="C16" s="36" t="n">
        <v>8</v>
      </c>
      <c r="D16" s="36" t="n">
        <v>65</v>
      </c>
      <c r="E16" s="36" t="n">
        <v>3</v>
      </c>
      <c r="F16" s="36" t="n">
        <v>4</v>
      </c>
      <c r="G16" s="36" t="n">
        <v>2</v>
      </c>
      <c r="H16" s="36" t="n">
        <v>0</v>
      </c>
      <c r="I16" s="36" t="n">
        <v>0</v>
      </c>
      <c r="J16" s="36" t="n">
        <v>30</v>
      </c>
      <c r="K16" s="36" t="n">
        <v>0</v>
      </c>
      <c r="L16" s="35" t="inlineStr">
        <is>
          <t>IFCT 2017</t>
        </is>
      </c>
    </row>
    <row r="17" ht="15" customHeight="1" s="33">
      <c r="A17" s="35" t="inlineStr">
        <is>
          <t>Mustard seed / powder</t>
        </is>
      </c>
      <c r="B17" s="36" t="n">
        <v>520</v>
      </c>
      <c r="C17" s="36" t="n">
        <v>22</v>
      </c>
      <c r="D17" s="36" t="n">
        <v>25</v>
      </c>
      <c r="E17" s="36" t="n">
        <v>5</v>
      </c>
      <c r="F17" s="36" t="n">
        <v>38</v>
      </c>
      <c r="G17" s="36" t="n">
        <v>2</v>
      </c>
      <c r="H17" s="36" t="n">
        <v>0</v>
      </c>
      <c r="I17" s="36" t="n">
        <v>0</v>
      </c>
      <c r="J17" s="36" t="n">
        <v>10</v>
      </c>
      <c r="K17" s="36" t="n">
        <v>0</v>
      </c>
      <c r="L17" s="35" t="inlineStr">
        <is>
          <t>IFCT 2017</t>
        </is>
      </c>
    </row>
    <row r="18" ht="15" customHeight="1" s="33">
      <c r="A18" s="35" t="inlineStr">
        <is>
          <t>Fenugreek seed / powder</t>
        </is>
      </c>
      <c r="B18" s="36" t="n">
        <v>330</v>
      </c>
      <c r="C18" s="36" t="n">
        <v>26</v>
      </c>
      <c r="D18" s="36" t="n">
        <v>44</v>
      </c>
      <c r="E18" s="36" t="n">
        <v>1</v>
      </c>
      <c r="F18" s="36" t="n">
        <v>6</v>
      </c>
      <c r="G18" s="36" t="n">
        <v>1.5</v>
      </c>
      <c r="H18" s="36" t="n">
        <v>0</v>
      </c>
      <c r="I18" s="36" t="n">
        <v>0</v>
      </c>
      <c r="J18" s="36" t="n">
        <v>60</v>
      </c>
      <c r="K18" s="36" t="n">
        <v>0</v>
      </c>
      <c r="L18" s="35" t="inlineStr">
        <is>
          <t>IFCT 2017</t>
        </is>
      </c>
    </row>
    <row r="19" ht="15" customHeight="1" s="33">
      <c r="A19" s="35" t="inlineStr">
        <is>
          <t>Dry ginger powder</t>
        </is>
      </c>
      <c r="B19" s="36" t="n">
        <v>340</v>
      </c>
      <c r="C19" s="36" t="n">
        <v>9</v>
      </c>
      <c r="D19" s="36" t="n">
        <v>70</v>
      </c>
      <c r="E19" s="36" t="n">
        <v>3</v>
      </c>
      <c r="F19" s="36" t="n">
        <v>4</v>
      </c>
      <c r="G19" s="36" t="n">
        <v>2</v>
      </c>
      <c r="H19" s="36" t="n">
        <v>0</v>
      </c>
      <c r="I19" s="36" t="n">
        <v>0</v>
      </c>
      <c r="J19" s="36" t="n">
        <v>30</v>
      </c>
      <c r="K19" s="36" t="n">
        <v>0</v>
      </c>
      <c r="L19" s="35" t="inlineStr">
        <is>
          <t>USDA</t>
        </is>
      </c>
    </row>
    <row r="20" ht="15" customHeight="1" s="33">
      <c r="A20" s="35" t="inlineStr">
        <is>
          <t>Asafoetida, compounded</t>
        </is>
      </c>
      <c r="B20" s="36" t="n">
        <v>300</v>
      </c>
      <c r="C20" s="36" t="n">
        <v>4</v>
      </c>
      <c r="D20" s="36" t="n">
        <v>65</v>
      </c>
      <c r="E20" s="36" t="n">
        <v>1</v>
      </c>
      <c r="F20" s="36" t="n">
        <v>1</v>
      </c>
      <c r="G20" s="36" t="n">
        <v>0.2</v>
      </c>
      <c r="H20" s="36" t="n">
        <v>0</v>
      </c>
      <c r="I20" s="36" t="n">
        <v>0</v>
      </c>
      <c r="J20" s="36" t="n">
        <v>40</v>
      </c>
      <c r="K20" s="36" t="n">
        <v>0</v>
      </c>
      <c r="L20" s="35" t="inlineStr">
        <is>
          <t>Approx.; ~30% wheat flour + gum arabic (contains gluten)</t>
        </is>
      </c>
    </row>
    <row r="21" ht="15" customHeight="1" s="33">
      <c r="A21" s="35" t="inlineStr">
        <is>
          <t>Sugar, white</t>
        </is>
      </c>
      <c r="B21" s="36" t="n">
        <v>400</v>
      </c>
      <c r="C21" s="36" t="n">
        <v>0</v>
      </c>
      <c r="D21" s="36" t="n">
        <v>100</v>
      </c>
      <c r="E21" s="36" t="n">
        <v>100</v>
      </c>
      <c r="F21" s="36" t="n">
        <v>0</v>
      </c>
      <c r="G21" s="36" t="n">
        <v>0</v>
      </c>
      <c r="H21" s="36" t="n">
        <v>0</v>
      </c>
      <c r="I21" s="36" t="n">
        <v>0</v>
      </c>
      <c r="J21" s="36" t="n">
        <v>0</v>
      </c>
      <c r="K21" s="36" t="n">
        <v>1</v>
      </c>
      <c r="L21" s="35" t="inlineStr">
        <is>
          <t>Counts as ADDED sugar</t>
        </is>
      </c>
    </row>
    <row r="22" ht="15" customHeight="1" s="33">
      <c r="A22" s="35" t="inlineStr">
        <is>
          <t>Jaggery</t>
        </is>
      </c>
      <c r="B22" s="36" t="n">
        <v>380</v>
      </c>
      <c r="C22" s="36" t="n">
        <v>0.4</v>
      </c>
      <c r="D22" s="36" t="n">
        <v>95</v>
      </c>
      <c r="E22" s="36" t="n">
        <v>90</v>
      </c>
      <c r="F22" s="36" t="n">
        <v>0.1</v>
      </c>
      <c r="G22" s="36" t="n">
        <v>0</v>
      </c>
      <c r="H22" s="36" t="n">
        <v>0</v>
      </c>
      <c r="I22" s="36" t="n">
        <v>0</v>
      </c>
      <c r="J22" s="36" t="n">
        <v>30</v>
      </c>
      <c r="K22" s="36" t="n">
        <v>1</v>
      </c>
      <c r="L22" s="35" t="inlineStr">
        <is>
          <t>Counts as ADDED sugar</t>
        </is>
      </c>
    </row>
    <row r="23" ht="15" customHeight="1" s="33">
      <c r="A23" s="35" t="inlineStr">
        <is>
          <t>Salt</t>
        </is>
      </c>
      <c r="B23" s="36" t="n">
        <v>0</v>
      </c>
      <c r="C23" s="36" t="n">
        <v>0</v>
      </c>
      <c r="D23" s="36" t="n">
        <v>0</v>
      </c>
      <c r="E23" s="36" t="n">
        <v>0</v>
      </c>
      <c r="F23" s="36" t="n">
        <v>0</v>
      </c>
      <c r="G23" s="36" t="n">
        <v>0</v>
      </c>
      <c r="H23" s="36" t="n">
        <v>0</v>
      </c>
      <c r="I23" s="36" t="n">
        <v>0</v>
      </c>
      <c r="J23" s="36" t="n">
        <v>39300</v>
      </c>
      <c r="K23" s="36" t="n">
        <v>0</v>
      </c>
      <c r="L23" s="35" t="inlineStr">
        <is>
          <t>NaCl is 39.3% sodium by weight. Iodised salt same.</t>
        </is>
      </c>
    </row>
    <row r="24" ht="15" customHeight="1" s="33">
      <c r="A24" s="35" t="inlineStr">
        <is>
          <t>Beef, lean, raw</t>
        </is>
      </c>
      <c r="B24" s="36" t="n">
        <v>130</v>
      </c>
      <c r="C24" s="36" t="n">
        <v>21</v>
      </c>
      <c r="D24" s="36" t="n">
        <v>0</v>
      </c>
      <c r="E24" s="36" t="n">
        <v>0</v>
      </c>
      <c r="F24" s="36" t="n">
        <v>5</v>
      </c>
      <c r="G24" s="36" t="n">
        <v>2</v>
      </c>
      <c r="H24" s="36" t="n">
        <v>0</v>
      </c>
      <c r="I24" s="36" t="n">
        <v>60</v>
      </c>
      <c r="J24" s="36" t="n">
        <v>65</v>
      </c>
      <c r="K24" s="36" t="n">
        <v>0</v>
      </c>
      <c r="L24" s="35" t="inlineStr">
        <is>
          <t>IFCT 2017 / USDA</t>
        </is>
      </c>
    </row>
    <row r="25" ht="15" customHeight="1" s="33">
      <c r="A25" s="35" t="inlineStr">
        <is>
          <t>Squid, raw, cleaned</t>
        </is>
      </c>
      <c r="B25" s="36" t="n">
        <v>85</v>
      </c>
      <c r="C25" s="36" t="n">
        <v>16</v>
      </c>
      <c r="D25" s="36" t="n">
        <v>3</v>
      </c>
      <c r="E25" s="36" t="n">
        <v>0</v>
      </c>
      <c r="F25" s="36" t="n">
        <v>1.2</v>
      </c>
      <c r="G25" s="36" t="n">
        <v>0.4</v>
      </c>
      <c r="H25" s="36" t="n">
        <v>0</v>
      </c>
      <c r="I25" s="36" t="n">
        <v>230</v>
      </c>
      <c r="J25" s="36" t="n">
        <v>45</v>
      </c>
      <c r="K25" s="36" t="n">
        <v>0</v>
      </c>
      <c r="L25" s="35" t="inlineStr">
        <is>
          <t>USDA</t>
        </is>
      </c>
    </row>
    <row r="26" ht="15" customHeight="1" s="33">
      <c r="A26" s="35" t="inlineStr">
        <is>
          <t>Konjac (konnyaku), ready block</t>
        </is>
      </c>
      <c r="B26" s="36" t="n">
        <v>7</v>
      </c>
      <c r="C26" s="36" t="n">
        <v>0.1</v>
      </c>
      <c r="D26" s="36" t="n">
        <v>3</v>
      </c>
      <c r="E26" s="36" t="n">
        <v>0</v>
      </c>
      <c r="F26" s="36" t="n">
        <v>0</v>
      </c>
      <c r="G26" s="36" t="n">
        <v>0</v>
      </c>
      <c r="H26" s="36" t="n">
        <v>0</v>
      </c>
      <c r="I26" s="36" t="n">
        <v>0</v>
      </c>
      <c r="J26" s="36" t="n">
        <v>5</v>
      </c>
      <c r="K26" s="36" t="n">
        <v>0</v>
      </c>
      <c r="L26" s="35" t="inlineStr">
        <is>
          <t>USDA; carb is mostly glucomannan fibre</t>
        </is>
      </c>
    </row>
    <row r="27" ht="15" customHeight="1" s="33">
      <c r="A27" s="35" t="inlineStr">
        <is>
          <t>Fish, generic firm white, raw</t>
        </is>
      </c>
      <c r="B27" s="36" t="n">
        <v>95</v>
      </c>
      <c r="C27" s="36" t="n">
        <v>19</v>
      </c>
      <c r="D27" s="36" t="n">
        <v>0</v>
      </c>
      <c r="E27" s="36" t="n">
        <v>0</v>
      </c>
      <c r="F27" s="36" t="n">
        <v>1.5</v>
      </c>
      <c r="G27" s="36" t="n">
        <v>0.4</v>
      </c>
      <c r="H27" s="36" t="n">
        <v>0</v>
      </c>
      <c r="I27" s="36" t="n">
        <v>55</v>
      </c>
      <c r="J27" s="36" t="n">
        <v>70</v>
      </c>
      <c r="K27" s="36" t="n">
        <v>0</v>
      </c>
      <c r="L27" s="35" t="inlineStr">
        <is>
          <t>USDA average</t>
        </is>
      </c>
    </row>
    <row r="28" ht="15" customHeight="1" s="33">
      <c r="A28" s="35" t="inlineStr">
        <is>
          <t>Raw mango</t>
        </is>
      </c>
      <c r="B28" s="36" t="n">
        <v>50</v>
      </c>
      <c r="C28" s="36" t="n">
        <v>0.8</v>
      </c>
      <c r="D28" s="36" t="n">
        <v>12</v>
      </c>
      <c r="E28" s="36" t="n">
        <v>5</v>
      </c>
      <c r="F28" s="36" t="n">
        <v>0.3</v>
      </c>
      <c r="G28" s="36" t="n">
        <v>0</v>
      </c>
      <c r="H28" s="36" t="n">
        <v>0</v>
      </c>
      <c r="I28" s="36" t="n">
        <v>0</v>
      </c>
      <c r="J28" s="36" t="n">
        <v>5</v>
      </c>
      <c r="K28" s="36" t="n">
        <v>0</v>
      </c>
      <c r="L28" s="35" t="inlineStr">
        <is>
          <t>IFCT 2017</t>
        </is>
      </c>
    </row>
    <row r="29" ht="15" customHeight="1" s="33">
      <c r="A29" s="35" t="inlineStr">
        <is>
          <t>Lime / lemon, whole</t>
        </is>
      </c>
      <c r="B29" s="36" t="n">
        <v>30</v>
      </c>
      <c r="C29" s="36" t="n">
        <v>0.7</v>
      </c>
      <c r="D29" s="36" t="n">
        <v>10</v>
      </c>
      <c r="E29" s="36" t="n">
        <v>1.7</v>
      </c>
      <c r="F29" s="36" t="n">
        <v>0.2</v>
      </c>
      <c r="G29" s="36" t="n">
        <v>0</v>
      </c>
      <c r="H29" s="36" t="n">
        <v>0</v>
      </c>
      <c r="I29" s="36" t="n">
        <v>0</v>
      </c>
      <c r="J29" s="36" t="n">
        <v>2</v>
      </c>
      <c r="K29" s="36" t="n">
        <v>0</v>
      </c>
      <c r="L29" s="35" t="inlineStr">
        <is>
          <t>IFCT 2017</t>
        </is>
      </c>
    </row>
    <row r="30" ht="15" customHeight="1" s="33">
      <c r="A30" s="35" t="inlineStr">
        <is>
          <t>Tamarind pulp</t>
        </is>
      </c>
      <c r="B30" s="36" t="n">
        <v>240</v>
      </c>
      <c r="C30" s="36" t="n">
        <v>3</v>
      </c>
      <c r="D30" s="36" t="n">
        <v>62</v>
      </c>
      <c r="E30" s="36" t="n">
        <v>40</v>
      </c>
      <c r="F30" s="36" t="n">
        <v>0.5</v>
      </c>
      <c r="G30" s="36" t="n">
        <v>0.2</v>
      </c>
      <c r="H30" s="36" t="n">
        <v>0</v>
      </c>
      <c r="I30" s="36" t="n">
        <v>0</v>
      </c>
      <c r="J30" s="36" t="n">
        <v>30</v>
      </c>
      <c r="K30" s="36" t="n">
        <v>0</v>
      </c>
      <c r="L30" s="35" t="inlineStr">
        <is>
          <t>IFCT 2017</t>
        </is>
      </c>
    </row>
    <row r="31" ht="15" customHeight="1" s="33">
      <c r="A31" s="35" t="inlineStr">
        <is>
          <t>Water</t>
        </is>
      </c>
      <c r="B31" s="36" t="n">
        <v>0</v>
      </c>
      <c r="C31" s="36" t="n">
        <v>0</v>
      </c>
      <c r="D31" s="36" t="n">
        <v>0</v>
      </c>
      <c r="E31" s="36" t="n">
        <v>0</v>
      </c>
      <c r="F31" s="36" t="n">
        <v>0</v>
      </c>
      <c r="G31" s="36" t="n">
        <v>0</v>
      </c>
      <c r="H31" s="36" t="n">
        <v>0</v>
      </c>
      <c r="I31" s="36" t="n">
        <v>0</v>
      </c>
      <c r="J31" s="36" t="n">
        <v>0</v>
      </c>
      <c r="K31" s="36" t="n">
        <v>0</v>
      </c>
      <c r="L31" s="35" t="n"/>
    </row>
    <row r="33" ht="15" customHeight="1" s="33">
      <c r="A33" s="37" t="inlineStr">
        <is>
          <t>How to use this sheet</t>
        </is>
      </c>
    </row>
    <row r="34" ht="30" customHeight="1" s="33">
      <c r="A34" s="38" t="inlineStr">
        <is>
          <t>All values are per 100 g of the ingredient as it goes into the pot (raw). Blue cells are editable.</t>
        </is>
      </c>
    </row>
    <row r="35" ht="30" customHeight="1" s="33">
      <c r="A35" s="38" t="inlineStr">
        <is>
          <t>Values are approximate, drawn from IFCT 2017 (NIN Hyderabad, Indian Food Composition Tables) and USDA FoodData Central. Verify any ingredient that dominates your recipe (oil, salt, meat, dates) against the IFCT table before printing.</t>
        </is>
      </c>
    </row>
    <row r="36" ht="30" customHeight="1" s="33">
      <c r="A36" s="38" t="inlineStr">
        <is>
          <t>To add an ingredient: type it on a new row below the last one, fill the numbers, then extend the dropdown range on the Recipe sheet (Data &gt; Validation) if needed. The dropdown already covers rows 2 to 60.</t>
        </is>
      </c>
    </row>
    <row r="37" ht="30" customHeight="1" s="33">
      <c r="A37" s="38" t="inlineStr">
        <is>
          <t>Added-sugar flag: 1 only for sugar, jaggery, honey, syrups. Sugar naturally in dates, mango, etc. is NOT 'added sugar' under FSSAI.</t>
        </is>
      </c>
    </row>
    <row r="38" ht="30" customHeight="1" s="33">
      <c r="A38" s="38" t="inlineStr">
        <is>
          <t>Sodium from salt: 1 g salt = 393 mg sodium. This single number drives most of your sodium figure, so weigh salt accurately.</t>
        </is>
      </c>
    </row>
  </sheetData>
  <mergeCells count="5">
    <mergeCell ref="A38:L38"/>
    <mergeCell ref="A37:L37"/>
    <mergeCell ref="A36:L36"/>
    <mergeCell ref="A34:L34"/>
    <mergeCell ref="A35:L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46"/>
  <sheetViews>
    <sheetView showFormulas="0" showGridLines="1" showRowColHeaders="1" showZeros="1" rightToLeft="0" tabSelected="0" showOutlineSymbols="1" defaultGridColor="1"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baseColWidth="8" defaultColWidth="8.6796875" defaultRowHeight="15" zeroHeight="0" outlineLevelRow="0"/>
  <cols>
    <col width="34" customWidth="1" style="32" min="1" max="1"/>
    <col width="14" customWidth="1" style="32" min="2" max="4"/>
    <col width="12" customWidth="1" style="32" min="5" max="14"/>
  </cols>
  <sheetData>
    <row r="1" ht="17.35" customHeight="1" s="33">
      <c r="A1" s="39" t="inlineStr">
        <is>
          <t>Lailark Kitchen: Nutrition Calculator (per 100 g, FSSAI panel)</t>
        </is>
      </c>
    </row>
    <row r="2" ht="15" customHeight="1" s="33">
      <c r="A2" s="40" t="inlineStr">
        <is>
          <t>Yellow cells: you fill in. Everything else calculates. One recipe per copy of this sheet (right-click tab &gt; Move or Copy).</t>
        </is>
      </c>
    </row>
    <row r="4" ht="15" customHeight="1" s="33">
      <c r="A4" s="41" t="inlineStr">
        <is>
          <t>Product name</t>
        </is>
      </c>
      <c r="B4" s="42" t="inlineStr">
        <is>
          <t>Prawns &amp; Dates Pickle</t>
        </is>
      </c>
    </row>
    <row r="5" ht="15" customHeight="1" s="33">
      <c r="A5" s="41" t="inlineStr">
        <is>
          <t>Finished batch weight, weighed after cooking and settling (g)</t>
        </is>
      </c>
      <c r="B5" s="42" t="n">
        <v>4600</v>
      </c>
    </row>
    <row r="6" ht="15" customHeight="1" s="33">
      <c r="A6" s="41" t="inlineStr">
        <is>
          <t>Serving size for the optional 'per serve' column (g)</t>
        </is>
      </c>
      <c r="B6" s="42" t="n">
        <v>15</v>
      </c>
    </row>
    <row r="7" ht="15" customHeight="1" s="33">
      <c r="A7" s="41" t="inlineStr">
        <is>
          <t>Batch number / date (for your records)</t>
        </is>
      </c>
      <c r="B7" s="42" t="inlineStr">
        <is>
          <t>Batch 009, 04/09/2026</t>
        </is>
      </c>
    </row>
    <row r="8" ht="15" customHeight="1" s="33">
      <c r="C8" s="43" t="inlineStr">
        <is>
          <t>1 = all of it goes into the jars. Use e.g. 0.7 if 30% of the oil stays in the pan.</t>
        </is>
      </c>
    </row>
    <row r="9" ht="42" customHeight="1" s="33">
      <c r="A9" s="44" t="inlineStr">
        <is>
          <t>Ingredient (pick from list)</t>
        </is>
      </c>
      <c r="B9" s="44" t="inlineStr">
        <is>
          <t>Weight in (g)</t>
        </is>
      </c>
      <c r="C9" s="44" t="inlineStr">
        <is>
          <t>Fraction ending up in jars</t>
        </is>
      </c>
      <c r="D9" s="44" t="inlineStr">
        <is>
          <t>Effective weight (g)</t>
        </is>
      </c>
      <c r="E9" s="44" t="inlineStr">
        <is>
          <t>Energy (kcal)</t>
        </is>
      </c>
      <c r="F9" s="44" t="inlineStr">
        <is>
          <t>Protein (g)</t>
        </is>
      </c>
      <c r="G9" s="44" t="inlineStr">
        <is>
          <t>Carb (g)</t>
        </is>
      </c>
      <c r="H9" s="44" t="inlineStr">
        <is>
          <t>Total sugars (g)</t>
        </is>
      </c>
      <c r="I9" s="44" t="inlineStr">
        <is>
          <t>Added sugars (g)</t>
        </is>
      </c>
      <c r="J9" s="44" t="inlineStr">
        <is>
          <t>Total fat (g)</t>
        </is>
      </c>
      <c r="K9" s="44" t="inlineStr">
        <is>
          <t>Sat fat (g)</t>
        </is>
      </c>
      <c r="L9" s="44" t="inlineStr">
        <is>
          <t>Trans fat (g)</t>
        </is>
      </c>
      <c r="M9" s="44" t="inlineStr">
        <is>
          <t>Cholesterol (mg)</t>
        </is>
      </c>
      <c r="N9" s="44" t="inlineStr">
        <is>
          <t>Sodium (mg)</t>
        </is>
      </c>
    </row>
    <row r="10" ht="15" customHeight="1" s="33">
      <c r="A10" s="42" t="inlineStr">
        <is>
          <t>Prawns, fresh, cleaned</t>
        </is>
      </c>
      <c r="B10" s="45" t="n">
        <v>2700</v>
      </c>
      <c r="C10" s="42" t="n">
        <v>1</v>
      </c>
      <c r="D10" s="46">
        <f>IF(A10="",0,B10*C10)</f>
        <v/>
      </c>
      <c r="E10" s="46">
        <f>IFERROR(D10*INDEX(Database!$B$2:$B$60,MATCH($A10,Database!$A$2:$A$60,0))/100,0)</f>
        <v/>
      </c>
      <c r="F10" s="46">
        <f>IFERROR(D10*INDEX(Database!$C$2:$C$60,MATCH($A10,Database!$A$2:$A$60,0))/100,0)</f>
        <v/>
      </c>
      <c r="G10" s="46">
        <f>IFERROR(D10*INDEX(Database!$D$2:$D$60,MATCH($A10,Database!$A$2:$A$60,0))/100,0)</f>
        <v/>
      </c>
      <c r="H10" s="46">
        <f>IFERROR(D10*INDEX(Database!$E$2:$E$60,MATCH($A10,Database!$A$2:$A$60,0))/100,0)</f>
        <v/>
      </c>
      <c r="I10" s="46">
        <f>IFERROR(H10*INDEX(Database!$K$2:$K$60,MATCH($A10,Database!$A$2:$A$60,0)),0)</f>
        <v/>
      </c>
      <c r="J10" s="46">
        <f>IFERROR(D10*INDEX(Database!$F$2:$F$60,MATCH($A10,Database!$A$2:$A$60,0))/100,0)</f>
        <v/>
      </c>
      <c r="K10" s="46">
        <f>IFERROR(D10*INDEX(Database!$G$2:$G$60,MATCH($A10,Database!$A$2:$A$60,0))/100,0)</f>
        <v/>
      </c>
      <c r="L10" s="46">
        <f>IFERROR(D10*INDEX(Database!$H$2:$H$60,MATCH($A10,Database!$A$2:$A$60,0))/100,0)</f>
        <v/>
      </c>
      <c r="M10" s="46">
        <f>IFERROR(D10*INDEX(Database!$I$2:$I$60,MATCH($A10,Database!$A$2:$A$60,0))/100,0)</f>
        <v/>
      </c>
      <c r="N10" s="46">
        <f>IFERROR(D10*INDEX(Database!$J$2:$J$60,MATCH($A10,Database!$A$2:$A$60,0))/100,0)</f>
        <v/>
      </c>
    </row>
    <row r="11" ht="15" customHeight="1" s="33">
      <c r="A11" s="42" t="inlineStr">
        <is>
          <t>Dates, dried</t>
        </is>
      </c>
      <c r="B11" s="45" t="n">
        <v>1000</v>
      </c>
      <c r="C11" s="42" t="n">
        <v>1</v>
      </c>
      <c r="D11" s="46">
        <f>IF(A11="",0,B11*C11)</f>
        <v/>
      </c>
      <c r="E11" s="46">
        <f>IFERROR(D11*INDEX(Database!$B$2:$B$60,MATCH($A11,Database!$A$2:$A$60,0))/100,0)</f>
        <v/>
      </c>
      <c r="F11" s="46">
        <f>IFERROR(D11*INDEX(Database!$C$2:$C$60,MATCH($A11,Database!$A$2:$A$60,0))/100,0)</f>
        <v/>
      </c>
      <c r="G11" s="46">
        <f>IFERROR(D11*INDEX(Database!$D$2:$D$60,MATCH($A11,Database!$A$2:$A$60,0))/100,0)</f>
        <v/>
      </c>
      <c r="H11" s="46">
        <f>IFERROR(D11*INDEX(Database!$E$2:$E$60,MATCH($A11,Database!$A$2:$A$60,0))/100,0)</f>
        <v/>
      </c>
      <c r="I11" s="46">
        <f>IFERROR(H11*INDEX(Database!$K$2:$K$60,MATCH($A11,Database!$A$2:$A$60,0)),0)</f>
        <v/>
      </c>
      <c r="J11" s="46">
        <f>IFERROR(D11*INDEX(Database!$F$2:$F$60,MATCH($A11,Database!$A$2:$A$60,0))/100,0)</f>
        <v/>
      </c>
      <c r="K11" s="46">
        <f>IFERROR(D11*INDEX(Database!$G$2:$G$60,MATCH($A11,Database!$A$2:$A$60,0))/100,0)</f>
        <v/>
      </c>
      <c r="L11" s="46">
        <f>IFERROR(D11*INDEX(Database!$H$2:$H$60,MATCH($A11,Database!$A$2:$A$60,0))/100,0)</f>
        <v/>
      </c>
      <c r="M11" s="46">
        <f>IFERROR(D11*INDEX(Database!$I$2:$I$60,MATCH($A11,Database!$A$2:$A$60,0))/100,0)</f>
        <v/>
      </c>
      <c r="N11" s="46">
        <f>IFERROR(D11*INDEX(Database!$J$2:$J$60,MATCH($A11,Database!$A$2:$A$60,0))/100,0)</f>
        <v/>
      </c>
    </row>
    <row r="12" ht="15" customHeight="1" s="33">
      <c r="A12" s="42" t="inlineStr">
        <is>
          <t>Gingelly (sesame) oil</t>
        </is>
      </c>
      <c r="B12" s="45" t="n">
        <v>1420</v>
      </c>
      <c r="C12" s="42" t="n">
        <v>1</v>
      </c>
      <c r="D12" s="46">
        <f>IF(A12="",0,B12*C12)</f>
        <v/>
      </c>
      <c r="E12" s="46">
        <f>IFERROR(D12*INDEX(Database!$B$2:$B$60,MATCH($A12,Database!$A$2:$A$60,0))/100,0)</f>
        <v/>
      </c>
      <c r="F12" s="46">
        <f>IFERROR(D12*INDEX(Database!$C$2:$C$60,MATCH($A12,Database!$A$2:$A$60,0))/100,0)</f>
        <v/>
      </c>
      <c r="G12" s="46">
        <f>IFERROR(D12*INDEX(Database!$D$2:$D$60,MATCH($A12,Database!$A$2:$A$60,0))/100,0)</f>
        <v/>
      </c>
      <c r="H12" s="46">
        <f>IFERROR(D12*INDEX(Database!$E$2:$E$60,MATCH($A12,Database!$A$2:$A$60,0))/100,0)</f>
        <v/>
      </c>
      <c r="I12" s="46">
        <f>IFERROR(H12*INDEX(Database!$K$2:$K$60,MATCH($A12,Database!$A$2:$A$60,0)),0)</f>
        <v/>
      </c>
      <c r="J12" s="46">
        <f>IFERROR(D12*INDEX(Database!$F$2:$F$60,MATCH($A12,Database!$A$2:$A$60,0))/100,0)</f>
        <v/>
      </c>
      <c r="K12" s="46">
        <f>IFERROR(D12*INDEX(Database!$G$2:$G$60,MATCH($A12,Database!$A$2:$A$60,0))/100,0)</f>
        <v/>
      </c>
      <c r="L12" s="46">
        <f>IFERROR(D12*INDEX(Database!$H$2:$H$60,MATCH($A12,Database!$A$2:$A$60,0))/100,0)</f>
        <v/>
      </c>
      <c r="M12" s="46">
        <f>IFERROR(D12*INDEX(Database!$I$2:$I$60,MATCH($A12,Database!$A$2:$A$60,0))/100,0)</f>
        <v/>
      </c>
      <c r="N12" s="46">
        <f>IFERROR(D12*INDEX(Database!$J$2:$J$60,MATCH($A12,Database!$A$2:$A$60,0))/100,0)</f>
        <v/>
      </c>
    </row>
    <row r="13" ht="15" customHeight="1" s="33">
      <c r="A13" s="42" t="inlineStr">
        <is>
          <t>Vinegar, synthetic 4%</t>
        </is>
      </c>
      <c r="B13" s="45" t="n">
        <v>2000</v>
      </c>
      <c r="C13" s="42" t="n">
        <v>1</v>
      </c>
      <c r="D13" s="46">
        <f>IF(A13="",0,B13*C13)</f>
        <v/>
      </c>
      <c r="E13" s="46">
        <f>IFERROR(D13*INDEX(Database!$B$2:$B$60,MATCH($A13,Database!$A$2:$A$60,0))/100,0)</f>
        <v/>
      </c>
      <c r="F13" s="46">
        <f>IFERROR(D13*INDEX(Database!$C$2:$C$60,MATCH($A13,Database!$A$2:$A$60,0))/100,0)</f>
        <v/>
      </c>
      <c r="G13" s="46">
        <f>IFERROR(D13*INDEX(Database!$D$2:$D$60,MATCH($A13,Database!$A$2:$A$60,0))/100,0)</f>
        <v/>
      </c>
      <c r="H13" s="46">
        <f>IFERROR(D13*INDEX(Database!$E$2:$E$60,MATCH($A13,Database!$A$2:$A$60,0))/100,0)</f>
        <v/>
      </c>
      <c r="I13" s="46">
        <f>IFERROR(H13*INDEX(Database!$K$2:$K$60,MATCH($A13,Database!$A$2:$A$60,0)),0)</f>
        <v/>
      </c>
      <c r="J13" s="46">
        <f>IFERROR(D13*INDEX(Database!$F$2:$F$60,MATCH($A13,Database!$A$2:$A$60,0))/100,0)</f>
        <v/>
      </c>
      <c r="K13" s="46">
        <f>IFERROR(D13*INDEX(Database!$G$2:$G$60,MATCH($A13,Database!$A$2:$A$60,0))/100,0)</f>
        <v/>
      </c>
      <c r="L13" s="46">
        <f>IFERROR(D13*INDEX(Database!$H$2:$H$60,MATCH($A13,Database!$A$2:$A$60,0))/100,0)</f>
        <v/>
      </c>
      <c r="M13" s="46">
        <f>IFERROR(D13*INDEX(Database!$I$2:$I$60,MATCH($A13,Database!$A$2:$A$60,0))/100,0)</f>
        <v/>
      </c>
      <c r="N13" s="46">
        <f>IFERROR(D13*INDEX(Database!$J$2:$J$60,MATCH($A13,Database!$A$2:$A$60,0))/100,0)</f>
        <v/>
      </c>
    </row>
    <row r="14" ht="15" customHeight="1" s="33">
      <c r="A14" s="42" t="inlineStr">
        <is>
          <t>Garlic, fresh</t>
        </is>
      </c>
      <c r="B14" s="45" t="n">
        <v>390</v>
      </c>
      <c r="C14" s="42" t="n">
        <v>1</v>
      </c>
      <c r="D14" s="46">
        <f>IF(A14="",0,B14*C14)</f>
        <v/>
      </c>
      <c r="E14" s="46">
        <f>IFERROR(D14*INDEX(Database!$B$2:$B$60,MATCH($A14,Database!$A$2:$A$60,0))/100,0)</f>
        <v/>
      </c>
      <c r="F14" s="46">
        <f>IFERROR(D14*INDEX(Database!$C$2:$C$60,MATCH($A14,Database!$A$2:$A$60,0))/100,0)</f>
        <v/>
      </c>
      <c r="G14" s="46">
        <f>IFERROR(D14*INDEX(Database!$D$2:$D$60,MATCH($A14,Database!$A$2:$A$60,0))/100,0)</f>
        <v/>
      </c>
      <c r="H14" s="46">
        <f>IFERROR(D14*INDEX(Database!$E$2:$E$60,MATCH($A14,Database!$A$2:$A$60,0))/100,0)</f>
        <v/>
      </c>
      <c r="I14" s="46">
        <f>IFERROR(H14*INDEX(Database!$K$2:$K$60,MATCH($A14,Database!$A$2:$A$60,0)),0)</f>
        <v/>
      </c>
      <c r="J14" s="46">
        <f>IFERROR(D14*INDEX(Database!$F$2:$F$60,MATCH($A14,Database!$A$2:$A$60,0))/100,0)</f>
        <v/>
      </c>
      <c r="K14" s="46">
        <f>IFERROR(D14*INDEX(Database!$G$2:$G$60,MATCH($A14,Database!$A$2:$A$60,0))/100,0)</f>
        <v/>
      </c>
      <c r="L14" s="46">
        <f>IFERROR(D14*INDEX(Database!$H$2:$H$60,MATCH($A14,Database!$A$2:$A$60,0))/100,0)</f>
        <v/>
      </c>
      <c r="M14" s="46">
        <f>IFERROR(D14*INDEX(Database!$I$2:$I$60,MATCH($A14,Database!$A$2:$A$60,0))/100,0)</f>
        <v/>
      </c>
      <c r="N14" s="46">
        <f>IFERROR(D14*INDEX(Database!$J$2:$J$60,MATCH($A14,Database!$A$2:$A$60,0))/100,0)</f>
        <v/>
      </c>
    </row>
    <row r="15" ht="15" customHeight="1" s="33">
      <c r="A15" s="42" t="inlineStr">
        <is>
          <t>Green chilli, fresh</t>
        </is>
      </c>
      <c r="B15" s="45" t="n">
        <v>200</v>
      </c>
      <c r="C15" s="42" t="n">
        <v>1</v>
      </c>
      <c r="D15" s="46">
        <f>IF(A15="",0,B15*C15)</f>
        <v/>
      </c>
      <c r="E15" s="46">
        <f>IFERROR(D15*INDEX(Database!$B$2:$B$60,MATCH($A15,Database!$A$2:$A$60,0))/100,0)</f>
        <v/>
      </c>
      <c r="F15" s="46">
        <f>IFERROR(D15*INDEX(Database!$C$2:$C$60,MATCH($A15,Database!$A$2:$A$60,0))/100,0)</f>
        <v/>
      </c>
      <c r="G15" s="46">
        <f>IFERROR(D15*INDEX(Database!$D$2:$D$60,MATCH($A15,Database!$A$2:$A$60,0))/100,0)</f>
        <v/>
      </c>
      <c r="H15" s="46">
        <f>IFERROR(D15*INDEX(Database!$E$2:$E$60,MATCH($A15,Database!$A$2:$A$60,0))/100,0)</f>
        <v/>
      </c>
      <c r="I15" s="46">
        <f>IFERROR(H15*INDEX(Database!$K$2:$K$60,MATCH($A15,Database!$A$2:$A$60,0)),0)</f>
        <v/>
      </c>
      <c r="J15" s="46">
        <f>IFERROR(D15*INDEX(Database!$F$2:$F$60,MATCH($A15,Database!$A$2:$A$60,0))/100,0)</f>
        <v/>
      </c>
      <c r="K15" s="46">
        <f>IFERROR(D15*INDEX(Database!$G$2:$G$60,MATCH($A15,Database!$A$2:$A$60,0))/100,0)</f>
        <v/>
      </c>
      <c r="L15" s="46">
        <f>IFERROR(D15*INDEX(Database!$H$2:$H$60,MATCH($A15,Database!$A$2:$A$60,0))/100,0)</f>
        <v/>
      </c>
      <c r="M15" s="46">
        <f>IFERROR(D15*INDEX(Database!$I$2:$I$60,MATCH($A15,Database!$A$2:$A$60,0))/100,0)</f>
        <v/>
      </c>
      <c r="N15" s="46">
        <f>IFERROR(D15*INDEX(Database!$J$2:$J$60,MATCH($A15,Database!$A$2:$A$60,0))/100,0)</f>
        <v/>
      </c>
    </row>
    <row r="16" ht="15" customHeight="1" s="33">
      <c r="A16" s="42" t="inlineStr">
        <is>
          <t>Ginger, fresh</t>
        </is>
      </c>
      <c r="B16" s="45" t="n">
        <v>125</v>
      </c>
      <c r="C16" s="42" t="n">
        <v>1</v>
      </c>
      <c r="D16" s="46">
        <f>IF(A16="",0,B16*C16)</f>
        <v/>
      </c>
      <c r="E16" s="46">
        <f>IFERROR(D16*INDEX(Database!$B$2:$B$60,MATCH($A16,Database!$A$2:$A$60,0))/100,0)</f>
        <v/>
      </c>
      <c r="F16" s="46">
        <f>IFERROR(D16*INDEX(Database!$C$2:$C$60,MATCH($A16,Database!$A$2:$A$60,0))/100,0)</f>
        <v/>
      </c>
      <c r="G16" s="46">
        <f>IFERROR(D16*INDEX(Database!$D$2:$D$60,MATCH($A16,Database!$A$2:$A$60,0))/100,0)</f>
        <v/>
      </c>
      <c r="H16" s="46">
        <f>IFERROR(D16*INDEX(Database!$E$2:$E$60,MATCH($A16,Database!$A$2:$A$60,0))/100,0)</f>
        <v/>
      </c>
      <c r="I16" s="46">
        <f>IFERROR(H16*INDEX(Database!$K$2:$K$60,MATCH($A16,Database!$A$2:$A$60,0)),0)</f>
        <v/>
      </c>
      <c r="J16" s="46">
        <f>IFERROR(D16*INDEX(Database!$F$2:$F$60,MATCH($A16,Database!$A$2:$A$60,0))/100,0)</f>
        <v/>
      </c>
      <c r="K16" s="46">
        <f>IFERROR(D16*INDEX(Database!$G$2:$G$60,MATCH($A16,Database!$A$2:$A$60,0))/100,0)</f>
        <v/>
      </c>
      <c r="L16" s="46">
        <f>IFERROR(D16*INDEX(Database!$H$2:$H$60,MATCH($A16,Database!$A$2:$A$60,0))/100,0)</f>
        <v/>
      </c>
      <c r="M16" s="46">
        <f>IFERROR(D16*INDEX(Database!$I$2:$I$60,MATCH($A16,Database!$A$2:$A$60,0))/100,0)</f>
        <v/>
      </c>
      <c r="N16" s="46">
        <f>IFERROR(D16*INDEX(Database!$J$2:$J$60,MATCH($A16,Database!$A$2:$A$60,0))/100,0)</f>
        <v/>
      </c>
    </row>
    <row r="17" ht="15" customHeight="1" s="33">
      <c r="A17" s="42" t="inlineStr">
        <is>
          <t>Kashmiri chilli powder</t>
        </is>
      </c>
      <c r="B17" s="45" t="n">
        <v>60</v>
      </c>
      <c r="C17" s="42" t="n">
        <v>1</v>
      </c>
      <c r="D17" s="46">
        <f>IF(A17="",0,B17*C17)</f>
        <v/>
      </c>
      <c r="E17" s="46">
        <f>IFERROR(D17*INDEX(Database!$B$2:$B$60,MATCH($A17,Database!$A$2:$A$60,0))/100,0)</f>
        <v/>
      </c>
      <c r="F17" s="46">
        <f>IFERROR(D17*INDEX(Database!$C$2:$C$60,MATCH($A17,Database!$A$2:$A$60,0))/100,0)</f>
        <v/>
      </c>
      <c r="G17" s="46">
        <f>IFERROR(D17*INDEX(Database!$D$2:$D$60,MATCH($A17,Database!$A$2:$A$60,0))/100,0)</f>
        <v/>
      </c>
      <c r="H17" s="46">
        <f>IFERROR(D17*INDEX(Database!$E$2:$E$60,MATCH($A17,Database!$A$2:$A$60,0))/100,0)</f>
        <v/>
      </c>
      <c r="I17" s="46">
        <f>IFERROR(H17*INDEX(Database!$K$2:$K$60,MATCH($A17,Database!$A$2:$A$60,0)),0)</f>
        <v/>
      </c>
      <c r="J17" s="46">
        <f>IFERROR(D17*INDEX(Database!$F$2:$F$60,MATCH($A17,Database!$A$2:$A$60,0))/100,0)</f>
        <v/>
      </c>
      <c r="K17" s="46">
        <f>IFERROR(D17*INDEX(Database!$G$2:$G$60,MATCH($A17,Database!$A$2:$A$60,0))/100,0)</f>
        <v/>
      </c>
      <c r="L17" s="46">
        <f>IFERROR(D17*INDEX(Database!$H$2:$H$60,MATCH($A17,Database!$A$2:$A$60,0))/100,0)</f>
        <v/>
      </c>
      <c r="M17" s="46">
        <f>IFERROR(D17*INDEX(Database!$I$2:$I$60,MATCH($A17,Database!$A$2:$A$60,0))/100,0)</f>
        <v/>
      </c>
      <c r="N17" s="46">
        <f>IFERROR(D17*INDEX(Database!$J$2:$J$60,MATCH($A17,Database!$A$2:$A$60,0))/100,0)</f>
        <v/>
      </c>
    </row>
    <row r="18" ht="15" customHeight="1" s="33">
      <c r="A18" s="42" t="inlineStr">
        <is>
          <t>Red chilli powder</t>
        </is>
      </c>
      <c r="B18" s="45" t="n">
        <v>60</v>
      </c>
      <c r="C18" s="42" t="n">
        <v>1</v>
      </c>
      <c r="D18" s="46">
        <f>IF(A18="",0,B18*C18)</f>
        <v/>
      </c>
      <c r="E18" s="46">
        <f>IFERROR(D18*INDEX(Database!$B$2:$B$60,MATCH($A18,Database!$A$2:$A$60,0))/100,0)</f>
        <v/>
      </c>
      <c r="F18" s="46">
        <f>IFERROR(D18*INDEX(Database!$C$2:$C$60,MATCH($A18,Database!$A$2:$A$60,0))/100,0)</f>
        <v/>
      </c>
      <c r="G18" s="46">
        <f>IFERROR(D18*INDEX(Database!$D$2:$D$60,MATCH($A18,Database!$A$2:$A$60,0))/100,0)</f>
        <v/>
      </c>
      <c r="H18" s="46">
        <f>IFERROR(D18*INDEX(Database!$E$2:$E$60,MATCH($A18,Database!$A$2:$A$60,0))/100,0)</f>
        <v/>
      </c>
      <c r="I18" s="46">
        <f>IFERROR(H18*INDEX(Database!$K$2:$K$60,MATCH($A18,Database!$A$2:$A$60,0)),0)</f>
        <v/>
      </c>
      <c r="J18" s="46">
        <f>IFERROR(D18*INDEX(Database!$F$2:$F$60,MATCH($A18,Database!$A$2:$A$60,0))/100,0)</f>
        <v/>
      </c>
      <c r="K18" s="46">
        <f>IFERROR(D18*INDEX(Database!$G$2:$G$60,MATCH($A18,Database!$A$2:$A$60,0))/100,0)</f>
        <v/>
      </c>
      <c r="L18" s="46">
        <f>IFERROR(D18*INDEX(Database!$H$2:$H$60,MATCH($A18,Database!$A$2:$A$60,0))/100,0)</f>
        <v/>
      </c>
      <c r="M18" s="46">
        <f>IFERROR(D18*INDEX(Database!$I$2:$I$60,MATCH($A18,Database!$A$2:$A$60,0))/100,0)</f>
        <v/>
      </c>
      <c r="N18" s="46">
        <f>IFERROR(D18*INDEX(Database!$J$2:$J$60,MATCH($A18,Database!$A$2:$A$60,0))/100,0)</f>
        <v/>
      </c>
    </row>
    <row r="19" ht="15" customHeight="1" s="33">
      <c r="A19" s="42" t="inlineStr">
        <is>
          <t>Sugar, white</t>
        </is>
      </c>
      <c r="B19" s="45" t="n">
        <v>36</v>
      </c>
      <c r="C19" s="42" t="n">
        <v>1</v>
      </c>
      <c r="D19" s="46">
        <f>IF(A19="",0,B19*C19)</f>
        <v/>
      </c>
      <c r="E19" s="46">
        <f>IFERROR(D19*INDEX(Database!$B$2:$B$60,MATCH($A19,Database!$A$2:$A$60,0))/100,0)</f>
        <v/>
      </c>
      <c r="F19" s="46">
        <f>IFERROR(D19*INDEX(Database!$C$2:$C$60,MATCH($A19,Database!$A$2:$A$60,0))/100,0)</f>
        <v/>
      </c>
      <c r="G19" s="46">
        <f>IFERROR(D19*INDEX(Database!$D$2:$D$60,MATCH($A19,Database!$A$2:$A$60,0))/100,0)</f>
        <v/>
      </c>
      <c r="H19" s="46">
        <f>IFERROR(D19*INDEX(Database!$E$2:$E$60,MATCH($A19,Database!$A$2:$A$60,0))/100,0)</f>
        <v/>
      </c>
      <c r="I19" s="46">
        <f>IFERROR(H19*INDEX(Database!$K$2:$K$60,MATCH($A19,Database!$A$2:$A$60,0)),0)</f>
        <v/>
      </c>
      <c r="J19" s="46">
        <f>IFERROR(D19*INDEX(Database!$F$2:$F$60,MATCH($A19,Database!$A$2:$A$60,0))/100,0)</f>
        <v/>
      </c>
      <c r="K19" s="46">
        <f>IFERROR(D19*INDEX(Database!$G$2:$G$60,MATCH($A19,Database!$A$2:$A$60,0))/100,0)</f>
        <v/>
      </c>
      <c r="L19" s="46">
        <f>IFERROR(D19*INDEX(Database!$H$2:$H$60,MATCH($A19,Database!$A$2:$A$60,0))/100,0)</f>
        <v/>
      </c>
      <c r="M19" s="46">
        <f>IFERROR(D19*INDEX(Database!$I$2:$I$60,MATCH($A19,Database!$A$2:$A$60,0))/100,0)</f>
        <v/>
      </c>
      <c r="N19" s="46">
        <f>IFERROR(D19*INDEX(Database!$J$2:$J$60,MATCH($A19,Database!$A$2:$A$60,0))/100,0)</f>
        <v/>
      </c>
    </row>
    <row r="20" ht="15" customHeight="1" s="33">
      <c r="A20" s="42" t="inlineStr">
        <is>
          <t>Asafoetida, compounded</t>
        </is>
      </c>
      <c r="B20" s="45" t="n">
        <v>18</v>
      </c>
      <c r="C20" s="42" t="n">
        <v>1</v>
      </c>
      <c r="D20" s="46">
        <f>IF(A20="",0,B20*C20)</f>
        <v/>
      </c>
      <c r="E20" s="46">
        <f>IFERROR(D20*INDEX(Database!$B$2:$B$60,MATCH($A20,Database!$A$2:$A$60,0))/100,0)</f>
        <v/>
      </c>
      <c r="F20" s="46">
        <f>IFERROR(D20*INDEX(Database!$C$2:$C$60,MATCH($A20,Database!$A$2:$A$60,0))/100,0)</f>
        <v/>
      </c>
      <c r="G20" s="46">
        <f>IFERROR(D20*INDEX(Database!$D$2:$D$60,MATCH($A20,Database!$A$2:$A$60,0))/100,0)</f>
        <v/>
      </c>
      <c r="H20" s="46">
        <f>IFERROR(D20*INDEX(Database!$E$2:$E$60,MATCH($A20,Database!$A$2:$A$60,0))/100,0)</f>
        <v/>
      </c>
      <c r="I20" s="46">
        <f>IFERROR(H20*INDEX(Database!$K$2:$K$60,MATCH($A20,Database!$A$2:$A$60,0)),0)</f>
        <v/>
      </c>
      <c r="J20" s="46">
        <f>IFERROR(D20*INDEX(Database!$F$2:$F$60,MATCH($A20,Database!$A$2:$A$60,0))/100,0)</f>
        <v/>
      </c>
      <c r="K20" s="46">
        <f>IFERROR(D20*INDEX(Database!$G$2:$G$60,MATCH($A20,Database!$A$2:$A$60,0))/100,0)</f>
        <v/>
      </c>
      <c r="L20" s="46">
        <f>IFERROR(D20*INDEX(Database!$H$2:$H$60,MATCH($A20,Database!$A$2:$A$60,0))/100,0)</f>
        <v/>
      </c>
      <c r="M20" s="46">
        <f>IFERROR(D20*INDEX(Database!$I$2:$I$60,MATCH($A20,Database!$A$2:$A$60,0))/100,0)</f>
        <v/>
      </c>
      <c r="N20" s="46">
        <f>IFERROR(D20*INDEX(Database!$J$2:$J$60,MATCH($A20,Database!$A$2:$A$60,0))/100,0)</f>
        <v/>
      </c>
    </row>
    <row r="21" ht="15" customHeight="1" s="33">
      <c r="A21" s="42" t="inlineStr">
        <is>
          <t>Mustard seed / powder</t>
        </is>
      </c>
      <c r="B21" s="45" t="n">
        <v>16</v>
      </c>
      <c r="C21" s="42" t="n">
        <v>1</v>
      </c>
      <c r="D21" s="46">
        <f>IF(A21="",0,B21*C21)</f>
        <v/>
      </c>
      <c r="E21" s="46">
        <f>IFERROR(D21*INDEX(Database!$B$2:$B$60,MATCH($A21,Database!$A$2:$A$60,0))/100,0)</f>
        <v/>
      </c>
      <c r="F21" s="46">
        <f>IFERROR(D21*INDEX(Database!$C$2:$C$60,MATCH($A21,Database!$A$2:$A$60,0))/100,0)</f>
        <v/>
      </c>
      <c r="G21" s="46">
        <f>IFERROR(D21*INDEX(Database!$D$2:$D$60,MATCH($A21,Database!$A$2:$A$60,0))/100,0)</f>
        <v/>
      </c>
      <c r="H21" s="46">
        <f>IFERROR(D21*INDEX(Database!$E$2:$E$60,MATCH($A21,Database!$A$2:$A$60,0))/100,0)</f>
        <v/>
      </c>
      <c r="I21" s="46">
        <f>IFERROR(H21*INDEX(Database!$K$2:$K$60,MATCH($A21,Database!$A$2:$A$60,0)),0)</f>
        <v/>
      </c>
      <c r="J21" s="46">
        <f>IFERROR(D21*INDEX(Database!$F$2:$F$60,MATCH($A21,Database!$A$2:$A$60,0))/100,0)</f>
        <v/>
      </c>
      <c r="K21" s="46">
        <f>IFERROR(D21*INDEX(Database!$G$2:$G$60,MATCH($A21,Database!$A$2:$A$60,0))/100,0)</f>
        <v/>
      </c>
      <c r="L21" s="46">
        <f>IFERROR(D21*INDEX(Database!$H$2:$H$60,MATCH($A21,Database!$A$2:$A$60,0))/100,0)</f>
        <v/>
      </c>
      <c r="M21" s="46">
        <f>IFERROR(D21*INDEX(Database!$I$2:$I$60,MATCH($A21,Database!$A$2:$A$60,0))/100,0)</f>
        <v/>
      </c>
      <c r="N21" s="46">
        <f>IFERROR(D21*INDEX(Database!$J$2:$J$60,MATCH($A21,Database!$A$2:$A$60,0))/100,0)</f>
        <v/>
      </c>
    </row>
    <row r="22" ht="15" customHeight="1" s="33">
      <c r="A22" s="42" t="inlineStr">
        <is>
          <t>Fenugreek seed / powder</t>
        </is>
      </c>
      <c r="B22" s="45" t="n">
        <v>8</v>
      </c>
      <c r="C22" s="42" t="n">
        <v>1</v>
      </c>
      <c r="D22" s="46">
        <f>IF(A22="",0,B22*C22)</f>
        <v/>
      </c>
      <c r="E22" s="46">
        <f>IFERROR(D22*INDEX(Database!$B$2:$B$60,MATCH($A22,Database!$A$2:$A$60,0))/100,0)</f>
        <v/>
      </c>
      <c r="F22" s="46">
        <f>IFERROR(D22*INDEX(Database!$C$2:$C$60,MATCH($A22,Database!$A$2:$A$60,0))/100,0)</f>
        <v/>
      </c>
      <c r="G22" s="46">
        <f>IFERROR(D22*INDEX(Database!$D$2:$D$60,MATCH($A22,Database!$A$2:$A$60,0))/100,0)</f>
        <v/>
      </c>
      <c r="H22" s="46">
        <f>IFERROR(D22*INDEX(Database!$E$2:$E$60,MATCH($A22,Database!$A$2:$A$60,0))/100,0)</f>
        <v/>
      </c>
      <c r="I22" s="46">
        <f>IFERROR(H22*INDEX(Database!$K$2:$K$60,MATCH($A22,Database!$A$2:$A$60,0)),0)</f>
        <v/>
      </c>
      <c r="J22" s="46">
        <f>IFERROR(D22*INDEX(Database!$F$2:$F$60,MATCH($A22,Database!$A$2:$A$60,0))/100,0)</f>
        <v/>
      </c>
      <c r="K22" s="46">
        <f>IFERROR(D22*INDEX(Database!$G$2:$G$60,MATCH($A22,Database!$A$2:$A$60,0))/100,0)</f>
        <v/>
      </c>
      <c r="L22" s="46">
        <f>IFERROR(D22*INDEX(Database!$H$2:$H$60,MATCH($A22,Database!$A$2:$A$60,0))/100,0)</f>
        <v/>
      </c>
      <c r="M22" s="46">
        <f>IFERROR(D22*INDEX(Database!$I$2:$I$60,MATCH($A22,Database!$A$2:$A$60,0))/100,0)</f>
        <v/>
      </c>
      <c r="N22" s="46">
        <f>IFERROR(D22*INDEX(Database!$J$2:$J$60,MATCH($A22,Database!$A$2:$A$60,0))/100,0)</f>
        <v/>
      </c>
    </row>
    <row r="23" ht="15" customHeight="1" s="33">
      <c r="A23" s="42" t="inlineStr">
        <is>
          <t>Dry ginger powder</t>
        </is>
      </c>
      <c r="B23" s="45" t="n">
        <v>6</v>
      </c>
      <c r="C23" s="42" t="n">
        <v>1</v>
      </c>
      <c r="D23" s="46">
        <f>IF(A23="",0,B23*C23)</f>
        <v/>
      </c>
      <c r="E23" s="46">
        <f>IFERROR(D23*INDEX(Database!$B$2:$B$60,MATCH($A23,Database!$A$2:$A$60,0))/100,0)</f>
        <v/>
      </c>
      <c r="F23" s="46">
        <f>IFERROR(D23*INDEX(Database!$C$2:$C$60,MATCH($A23,Database!$A$2:$A$60,0))/100,0)</f>
        <v/>
      </c>
      <c r="G23" s="46">
        <f>IFERROR(D23*INDEX(Database!$D$2:$D$60,MATCH($A23,Database!$A$2:$A$60,0))/100,0)</f>
        <v/>
      </c>
      <c r="H23" s="46">
        <f>IFERROR(D23*INDEX(Database!$E$2:$E$60,MATCH($A23,Database!$A$2:$A$60,0))/100,0)</f>
        <v/>
      </c>
      <c r="I23" s="46">
        <f>IFERROR(H23*INDEX(Database!$K$2:$K$60,MATCH($A23,Database!$A$2:$A$60,0)),0)</f>
        <v/>
      </c>
      <c r="J23" s="46">
        <f>IFERROR(D23*INDEX(Database!$F$2:$F$60,MATCH($A23,Database!$A$2:$A$60,0))/100,0)</f>
        <v/>
      </c>
      <c r="K23" s="46">
        <f>IFERROR(D23*INDEX(Database!$G$2:$G$60,MATCH($A23,Database!$A$2:$A$60,0))/100,0)</f>
        <v/>
      </c>
      <c r="L23" s="46">
        <f>IFERROR(D23*INDEX(Database!$H$2:$H$60,MATCH($A23,Database!$A$2:$A$60,0))/100,0)</f>
        <v/>
      </c>
      <c r="M23" s="46">
        <f>IFERROR(D23*INDEX(Database!$I$2:$I$60,MATCH($A23,Database!$A$2:$A$60,0))/100,0)</f>
        <v/>
      </c>
      <c r="N23" s="46">
        <f>IFERROR(D23*INDEX(Database!$J$2:$J$60,MATCH($A23,Database!$A$2:$A$60,0))/100,0)</f>
        <v/>
      </c>
    </row>
    <row r="24" ht="15" customHeight="1" s="33">
      <c r="A24" s="42" t="inlineStr">
        <is>
          <t>Salt</t>
        </is>
      </c>
      <c r="B24" s="45" t="n">
        <v>100</v>
      </c>
      <c r="C24" s="42" t="n">
        <v>1</v>
      </c>
      <c r="D24" s="46">
        <f>IF(A24="",0,B24*C24)</f>
        <v/>
      </c>
      <c r="E24" s="46">
        <f>IFERROR(D24*INDEX(Database!$B$2:$B$60,MATCH($A24,Database!$A$2:$A$60,0))/100,0)</f>
        <v/>
      </c>
      <c r="F24" s="46">
        <f>IFERROR(D24*INDEX(Database!$C$2:$C$60,MATCH($A24,Database!$A$2:$A$60,0))/100,0)</f>
        <v/>
      </c>
      <c r="G24" s="46">
        <f>IFERROR(D24*INDEX(Database!$D$2:$D$60,MATCH($A24,Database!$A$2:$A$60,0))/100,0)</f>
        <v/>
      </c>
      <c r="H24" s="46">
        <f>IFERROR(D24*INDEX(Database!$E$2:$E$60,MATCH($A24,Database!$A$2:$A$60,0))/100,0)</f>
        <v/>
      </c>
      <c r="I24" s="46">
        <f>IFERROR(H24*INDEX(Database!$K$2:$K$60,MATCH($A24,Database!$A$2:$A$60,0)),0)</f>
        <v/>
      </c>
      <c r="J24" s="46">
        <f>IFERROR(D24*INDEX(Database!$F$2:$F$60,MATCH($A24,Database!$A$2:$A$60,0))/100,0)</f>
        <v/>
      </c>
      <c r="K24" s="46">
        <f>IFERROR(D24*INDEX(Database!$G$2:$G$60,MATCH($A24,Database!$A$2:$A$60,0))/100,0)</f>
        <v/>
      </c>
      <c r="L24" s="46">
        <f>IFERROR(D24*INDEX(Database!$H$2:$H$60,MATCH($A24,Database!$A$2:$A$60,0))/100,0)</f>
        <v/>
      </c>
      <c r="M24" s="46">
        <f>IFERROR(D24*INDEX(Database!$I$2:$I$60,MATCH($A24,Database!$A$2:$A$60,0))/100,0)</f>
        <v/>
      </c>
      <c r="N24" s="46">
        <f>IFERROR(D24*INDEX(Database!$J$2:$J$60,MATCH($A24,Database!$A$2:$A$60,0))/100,0)</f>
        <v/>
      </c>
    </row>
    <row r="25" ht="15" customHeight="1" s="33">
      <c r="A25" s="42" t="inlineStr">
        <is>
          <t>Curry leaves, fresh</t>
        </is>
      </c>
      <c r="B25" s="45" t="n">
        <v>10</v>
      </c>
      <c r="C25" s="42" t="n">
        <v>1</v>
      </c>
      <c r="D25" s="46">
        <f>IF(A25="",0,B25*C25)</f>
        <v/>
      </c>
      <c r="E25" s="46">
        <f>IFERROR(D25*INDEX(Database!$B$2:$B$60,MATCH($A25,Database!$A$2:$A$60,0))/100,0)</f>
        <v/>
      </c>
      <c r="F25" s="46">
        <f>IFERROR(D25*INDEX(Database!$C$2:$C$60,MATCH($A25,Database!$A$2:$A$60,0))/100,0)</f>
        <v/>
      </c>
      <c r="G25" s="46">
        <f>IFERROR(D25*INDEX(Database!$D$2:$D$60,MATCH($A25,Database!$A$2:$A$60,0))/100,0)</f>
        <v/>
      </c>
      <c r="H25" s="46">
        <f>IFERROR(D25*INDEX(Database!$E$2:$E$60,MATCH($A25,Database!$A$2:$A$60,0))/100,0)</f>
        <v/>
      </c>
      <c r="I25" s="46">
        <f>IFERROR(H25*INDEX(Database!$K$2:$K$60,MATCH($A25,Database!$A$2:$A$60,0)),0)</f>
        <v/>
      </c>
      <c r="J25" s="46">
        <f>IFERROR(D25*INDEX(Database!$F$2:$F$60,MATCH($A25,Database!$A$2:$A$60,0))/100,0)</f>
        <v/>
      </c>
      <c r="K25" s="46">
        <f>IFERROR(D25*INDEX(Database!$G$2:$G$60,MATCH($A25,Database!$A$2:$A$60,0))/100,0)</f>
        <v/>
      </c>
      <c r="L25" s="46">
        <f>IFERROR(D25*INDEX(Database!$H$2:$H$60,MATCH($A25,Database!$A$2:$A$60,0))/100,0)</f>
        <v/>
      </c>
      <c r="M25" s="46">
        <f>IFERROR(D25*INDEX(Database!$I$2:$I$60,MATCH($A25,Database!$A$2:$A$60,0))/100,0)</f>
        <v/>
      </c>
      <c r="N25" s="46">
        <f>IFERROR(D25*INDEX(Database!$J$2:$J$60,MATCH($A25,Database!$A$2:$A$60,0))/100,0)</f>
        <v/>
      </c>
    </row>
    <row r="26" ht="15" customHeight="1" s="33">
      <c r="A26" s="42" t="inlineStr">
        <is>
          <t>Turmeric powder</t>
        </is>
      </c>
      <c r="B26" s="45" t="n">
        <v>7</v>
      </c>
      <c r="C26" s="42" t="n">
        <v>1</v>
      </c>
      <c r="D26" s="46">
        <f>IF(A26="",0,B26*C26)</f>
        <v/>
      </c>
      <c r="E26" s="46">
        <f>IFERROR(D26*INDEX(Database!$B$2:$B$60,MATCH($A26,Database!$A$2:$A$60,0))/100,0)</f>
        <v/>
      </c>
      <c r="F26" s="46">
        <f>IFERROR(D26*INDEX(Database!$C$2:$C$60,MATCH($A26,Database!$A$2:$A$60,0))/100,0)</f>
        <v/>
      </c>
      <c r="G26" s="46">
        <f>IFERROR(D26*INDEX(Database!$D$2:$D$60,MATCH($A26,Database!$A$2:$A$60,0))/100,0)</f>
        <v/>
      </c>
      <c r="H26" s="46">
        <f>IFERROR(D26*INDEX(Database!$E$2:$E$60,MATCH($A26,Database!$A$2:$A$60,0))/100,0)</f>
        <v/>
      </c>
      <c r="I26" s="46">
        <f>IFERROR(H26*INDEX(Database!$K$2:$K$60,MATCH($A26,Database!$A$2:$A$60,0)),0)</f>
        <v/>
      </c>
      <c r="J26" s="46">
        <f>IFERROR(D26*INDEX(Database!$F$2:$F$60,MATCH($A26,Database!$A$2:$A$60,0))/100,0)</f>
        <v/>
      </c>
      <c r="K26" s="46">
        <f>IFERROR(D26*INDEX(Database!$G$2:$G$60,MATCH($A26,Database!$A$2:$A$60,0))/100,0)</f>
        <v/>
      </c>
      <c r="L26" s="46">
        <f>IFERROR(D26*INDEX(Database!$H$2:$H$60,MATCH($A26,Database!$A$2:$A$60,0))/100,0)</f>
        <v/>
      </c>
      <c r="M26" s="46">
        <f>IFERROR(D26*INDEX(Database!$I$2:$I$60,MATCH($A26,Database!$A$2:$A$60,0))/100,0)</f>
        <v/>
      </c>
      <c r="N26" s="46">
        <f>IFERROR(D26*INDEX(Database!$J$2:$J$60,MATCH($A26,Database!$A$2:$A$60,0))/100,0)</f>
        <v/>
      </c>
    </row>
    <row r="27" ht="15" customHeight="1" s="33">
      <c r="A27" s="42" t="n"/>
      <c r="B27" s="45" t="n"/>
      <c r="C27" s="42" t="n">
        <v>1</v>
      </c>
      <c r="D27" s="46">
        <f>IF(A27="",0,B27*C27)</f>
        <v/>
      </c>
      <c r="E27" s="46">
        <f>IFERROR(D27*INDEX(Database!$B$2:$B$60,MATCH($A27,Database!$A$2:$A$60,0))/100,0)</f>
        <v/>
      </c>
      <c r="F27" s="46">
        <f>IFERROR(D27*INDEX(Database!$C$2:$C$60,MATCH($A27,Database!$A$2:$A$60,0))/100,0)</f>
        <v/>
      </c>
      <c r="G27" s="46">
        <f>IFERROR(D27*INDEX(Database!$D$2:$D$60,MATCH($A27,Database!$A$2:$A$60,0))/100,0)</f>
        <v/>
      </c>
      <c r="H27" s="46">
        <f>IFERROR(D27*INDEX(Database!$E$2:$E$60,MATCH($A27,Database!$A$2:$A$60,0))/100,0)</f>
        <v/>
      </c>
      <c r="I27" s="46">
        <f>IFERROR(H27*INDEX(Database!$K$2:$K$60,MATCH($A27,Database!$A$2:$A$60,0)),0)</f>
        <v/>
      </c>
      <c r="J27" s="46">
        <f>IFERROR(D27*INDEX(Database!$F$2:$F$60,MATCH($A27,Database!$A$2:$A$60,0))/100,0)</f>
        <v/>
      </c>
      <c r="K27" s="46">
        <f>IFERROR(D27*INDEX(Database!$G$2:$G$60,MATCH($A27,Database!$A$2:$A$60,0))/100,0)</f>
        <v/>
      </c>
      <c r="L27" s="46">
        <f>IFERROR(D27*INDEX(Database!$H$2:$H$60,MATCH($A27,Database!$A$2:$A$60,0))/100,0)</f>
        <v/>
      </c>
      <c r="M27" s="46">
        <f>IFERROR(D27*INDEX(Database!$I$2:$I$60,MATCH($A27,Database!$A$2:$A$60,0))/100,0)</f>
        <v/>
      </c>
      <c r="N27" s="46">
        <f>IFERROR(D27*INDEX(Database!$J$2:$J$60,MATCH($A27,Database!$A$2:$A$60,0))/100,0)</f>
        <v/>
      </c>
    </row>
    <row r="28" ht="15" customHeight="1" s="33">
      <c r="A28" s="42" t="n"/>
      <c r="B28" s="45" t="n"/>
      <c r="C28" s="42" t="n">
        <v>1</v>
      </c>
      <c r="D28" s="46">
        <f>IF(A28="",0,B28*C28)</f>
        <v/>
      </c>
      <c r="E28" s="46">
        <f>IFERROR(D28*INDEX(Database!$B$2:$B$60,MATCH($A28,Database!$A$2:$A$60,0))/100,0)</f>
        <v/>
      </c>
      <c r="F28" s="46">
        <f>IFERROR(D28*INDEX(Database!$C$2:$C$60,MATCH($A28,Database!$A$2:$A$60,0))/100,0)</f>
        <v/>
      </c>
      <c r="G28" s="46">
        <f>IFERROR(D28*INDEX(Database!$D$2:$D$60,MATCH($A28,Database!$A$2:$A$60,0))/100,0)</f>
        <v/>
      </c>
      <c r="H28" s="46">
        <f>IFERROR(D28*INDEX(Database!$E$2:$E$60,MATCH($A28,Database!$A$2:$A$60,0))/100,0)</f>
        <v/>
      </c>
      <c r="I28" s="46">
        <f>IFERROR(H28*INDEX(Database!$K$2:$K$60,MATCH($A28,Database!$A$2:$A$60,0)),0)</f>
        <v/>
      </c>
      <c r="J28" s="46">
        <f>IFERROR(D28*INDEX(Database!$F$2:$F$60,MATCH($A28,Database!$A$2:$A$60,0))/100,0)</f>
        <v/>
      </c>
      <c r="K28" s="46">
        <f>IFERROR(D28*INDEX(Database!$G$2:$G$60,MATCH($A28,Database!$A$2:$A$60,0))/100,0)</f>
        <v/>
      </c>
      <c r="L28" s="46">
        <f>IFERROR(D28*INDEX(Database!$H$2:$H$60,MATCH($A28,Database!$A$2:$A$60,0))/100,0)</f>
        <v/>
      </c>
      <c r="M28" s="46">
        <f>IFERROR(D28*INDEX(Database!$I$2:$I$60,MATCH($A28,Database!$A$2:$A$60,0))/100,0)</f>
        <v/>
      </c>
      <c r="N28" s="46">
        <f>IFERROR(D28*INDEX(Database!$J$2:$J$60,MATCH($A28,Database!$A$2:$A$60,0))/100,0)</f>
        <v/>
      </c>
    </row>
    <row r="29" ht="15" customHeight="1" s="33">
      <c r="A29" s="42" t="n"/>
      <c r="B29" s="45" t="n"/>
      <c r="C29" s="42" t="n">
        <v>1</v>
      </c>
      <c r="D29" s="46">
        <f>IF(A29="",0,B29*C29)</f>
        <v/>
      </c>
      <c r="E29" s="46">
        <f>IFERROR(D29*INDEX(Database!$B$2:$B$60,MATCH($A29,Database!$A$2:$A$60,0))/100,0)</f>
        <v/>
      </c>
      <c r="F29" s="46">
        <f>IFERROR(D29*INDEX(Database!$C$2:$C$60,MATCH($A29,Database!$A$2:$A$60,0))/100,0)</f>
        <v/>
      </c>
      <c r="G29" s="46">
        <f>IFERROR(D29*INDEX(Database!$D$2:$D$60,MATCH($A29,Database!$A$2:$A$60,0))/100,0)</f>
        <v/>
      </c>
      <c r="H29" s="46">
        <f>IFERROR(D29*INDEX(Database!$E$2:$E$60,MATCH($A29,Database!$A$2:$A$60,0))/100,0)</f>
        <v/>
      </c>
      <c r="I29" s="46">
        <f>IFERROR(H29*INDEX(Database!$K$2:$K$60,MATCH($A29,Database!$A$2:$A$60,0)),0)</f>
        <v/>
      </c>
      <c r="J29" s="46">
        <f>IFERROR(D29*INDEX(Database!$F$2:$F$60,MATCH($A29,Database!$A$2:$A$60,0))/100,0)</f>
        <v/>
      </c>
      <c r="K29" s="46">
        <f>IFERROR(D29*INDEX(Database!$G$2:$G$60,MATCH($A29,Database!$A$2:$A$60,0))/100,0)</f>
        <v/>
      </c>
      <c r="L29" s="46">
        <f>IFERROR(D29*INDEX(Database!$H$2:$H$60,MATCH($A29,Database!$A$2:$A$60,0))/100,0)</f>
        <v/>
      </c>
      <c r="M29" s="46">
        <f>IFERROR(D29*INDEX(Database!$I$2:$I$60,MATCH($A29,Database!$A$2:$A$60,0))/100,0)</f>
        <v/>
      </c>
      <c r="N29" s="46">
        <f>IFERROR(D29*INDEX(Database!$J$2:$J$60,MATCH($A29,Database!$A$2:$A$60,0))/100,0)</f>
        <v/>
      </c>
    </row>
    <row r="30" ht="15" customHeight="1" s="33">
      <c r="A30" s="42" t="n"/>
      <c r="B30" s="45" t="n"/>
      <c r="C30" s="42" t="n">
        <v>1</v>
      </c>
      <c r="D30" s="46">
        <f>IF(A30="",0,B30*C30)</f>
        <v/>
      </c>
      <c r="E30" s="46">
        <f>IFERROR(D30*INDEX(Database!$B$2:$B$60,MATCH($A30,Database!$A$2:$A$60,0))/100,0)</f>
        <v/>
      </c>
      <c r="F30" s="46">
        <f>IFERROR(D30*INDEX(Database!$C$2:$C$60,MATCH($A30,Database!$A$2:$A$60,0))/100,0)</f>
        <v/>
      </c>
      <c r="G30" s="46">
        <f>IFERROR(D30*INDEX(Database!$D$2:$D$60,MATCH($A30,Database!$A$2:$A$60,0))/100,0)</f>
        <v/>
      </c>
      <c r="H30" s="46">
        <f>IFERROR(D30*INDEX(Database!$E$2:$E$60,MATCH($A30,Database!$A$2:$A$60,0))/100,0)</f>
        <v/>
      </c>
      <c r="I30" s="46">
        <f>IFERROR(H30*INDEX(Database!$K$2:$K$60,MATCH($A30,Database!$A$2:$A$60,0)),0)</f>
        <v/>
      </c>
      <c r="J30" s="46">
        <f>IFERROR(D30*INDEX(Database!$F$2:$F$60,MATCH($A30,Database!$A$2:$A$60,0))/100,0)</f>
        <v/>
      </c>
      <c r="K30" s="46">
        <f>IFERROR(D30*INDEX(Database!$G$2:$G$60,MATCH($A30,Database!$A$2:$A$60,0))/100,0)</f>
        <v/>
      </c>
      <c r="L30" s="46">
        <f>IFERROR(D30*INDEX(Database!$H$2:$H$60,MATCH($A30,Database!$A$2:$A$60,0))/100,0)</f>
        <v/>
      </c>
      <c r="M30" s="46">
        <f>IFERROR(D30*INDEX(Database!$I$2:$I$60,MATCH($A30,Database!$A$2:$A$60,0))/100,0)</f>
        <v/>
      </c>
      <c r="N30" s="46">
        <f>IFERROR(D30*INDEX(Database!$J$2:$J$60,MATCH($A30,Database!$A$2:$A$60,0))/100,0)</f>
        <v/>
      </c>
    </row>
    <row r="31" ht="15" customHeight="1" s="33">
      <c r="A31" s="42" t="n"/>
      <c r="B31" s="45" t="n"/>
      <c r="C31" s="42" t="n">
        <v>1</v>
      </c>
      <c r="D31" s="46">
        <f>IF(A31="",0,B31*C31)</f>
        <v/>
      </c>
      <c r="E31" s="46">
        <f>IFERROR(D31*INDEX(Database!$B$2:$B$60,MATCH($A31,Database!$A$2:$A$60,0))/100,0)</f>
        <v/>
      </c>
      <c r="F31" s="46">
        <f>IFERROR(D31*INDEX(Database!$C$2:$C$60,MATCH($A31,Database!$A$2:$A$60,0))/100,0)</f>
        <v/>
      </c>
      <c r="G31" s="46">
        <f>IFERROR(D31*INDEX(Database!$D$2:$D$60,MATCH($A31,Database!$A$2:$A$60,0))/100,0)</f>
        <v/>
      </c>
      <c r="H31" s="46">
        <f>IFERROR(D31*INDEX(Database!$E$2:$E$60,MATCH($A31,Database!$A$2:$A$60,0))/100,0)</f>
        <v/>
      </c>
      <c r="I31" s="46">
        <f>IFERROR(H31*INDEX(Database!$K$2:$K$60,MATCH($A31,Database!$A$2:$A$60,0)),0)</f>
        <v/>
      </c>
      <c r="J31" s="46">
        <f>IFERROR(D31*INDEX(Database!$F$2:$F$60,MATCH($A31,Database!$A$2:$A$60,0))/100,0)</f>
        <v/>
      </c>
      <c r="K31" s="46">
        <f>IFERROR(D31*INDEX(Database!$G$2:$G$60,MATCH($A31,Database!$A$2:$A$60,0))/100,0)</f>
        <v/>
      </c>
      <c r="L31" s="46">
        <f>IFERROR(D31*INDEX(Database!$H$2:$H$60,MATCH($A31,Database!$A$2:$A$60,0))/100,0)</f>
        <v/>
      </c>
      <c r="M31" s="46">
        <f>IFERROR(D31*INDEX(Database!$I$2:$I$60,MATCH($A31,Database!$A$2:$A$60,0))/100,0)</f>
        <v/>
      </c>
      <c r="N31" s="46">
        <f>IFERROR(D31*INDEX(Database!$J$2:$J$60,MATCH($A31,Database!$A$2:$A$60,0))/100,0)</f>
        <v/>
      </c>
    </row>
    <row r="32" ht="15" customHeight="1" s="33">
      <c r="A32" s="42" t="n"/>
      <c r="B32" s="45" t="n"/>
      <c r="C32" s="42" t="n">
        <v>1</v>
      </c>
      <c r="D32" s="46">
        <f>IF(A32="",0,B32*C32)</f>
        <v/>
      </c>
      <c r="E32" s="46">
        <f>IFERROR(D32*INDEX(Database!$B$2:$B$60,MATCH($A32,Database!$A$2:$A$60,0))/100,0)</f>
        <v/>
      </c>
      <c r="F32" s="46">
        <f>IFERROR(D32*INDEX(Database!$C$2:$C$60,MATCH($A32,Database!$A$2:$A$60,0))/100,0)</f>
        <v/>
      </c>
      <c r="G32" s="46">
        <f>IFERROR(D32*INDEX(Database!$D$2:$D$60,MATCH($A32,Database!$A$2:$A$60,0))/100,0)</f>
        <v/>
      </c>
      <c r="H32" s="46">
        <f>IFERROR(D32*INDEX(Database!$E$2:$E$60,MATCH($A32,Database!$A$2:$A$60,0))/100,0)</f>
        <v/>
      </c>
      <c r="I32" s="46">
        <f>IFERROR(H32*INDEX(Database!$K$2:$K$60,MATCH($A32,Database!$A$2:$A$60,0)),0)</f>
        <v/>
      </c>
      <c r="J32" s="46">
        <f>IFERROR(D32*INDEX(Database!$F$2:$F$60,MATCH($A32,Database!$A$2:$A$60,0))/100,0)</f>
        <v/>
      </c>
      <c r="K32" s="46">
        <f>IFERROR(D32*INDEX(Database!$G$2:$G$60,MATCH($A32,Database!$A$2:$A$60,0))/100,0)</f>
        <v/>
      </c>
      <c r="L32" s="46">
        <f>IFERROR(D32*INDEX(Database!$H$2:$H$60,MATCH($A32,Database!$A$2:$A$60,0))/100,0)</f>
        <v/>
      </c>
      <c r="M32" s="46">
        <f>IFERROR(D32*INDEX(Database!$I$2:$I$60,MATCH($A32,Database!$A$2:$A$60,0))/100,0)</f>
        <v/>
      </c>
      <c r="N32" s="46">
        <f>IFERROR(D32*INDEX(Database!$J$2:$J$60,MATCH($A32,Database!$A$2:$A$60,0))/100,0)</f>
        <v/>
      </c>
    </row>
    <row r="33" ht="15" customHeight="1" s="33">
      <c r="A33" s="42" t="n"/>
      <c r="B33" s="45" t="n"/>
      <c r="C33" s="42" t="n">
        <v>1</v>
      </c>
      <c r="D33" s="46">
        <f>IF(A33="",0,B33*C33)</f>
        <v/>
      </c>
      <c r="E33" s="46">
        <f>IFERROR(D33*INDEX(Database!$B$2:$B$60,MATCH($A33,Database!$A$2:$A$60,0))/100,0)</f>
        <v/>
      </c>
      <c r="F33" s="46">
        <f>IFERROR(D33*INDEX(Database!$C$2:$C$60,MATCH($A33,Database!$A$2:$A$60,0))/100,0)</f>
        <v/>
      </c>
      <c r="G33" s="46">
        <f>IFERROR(D33*INDEX(Database!$D$2:$D$60,MATCH($A33,Database!$A$2:$A$60,0))/100,0)</f>
        <v/>
      </c>
      <c r="H33" s="46">
        <f>IFERROR(D33*INDEX(Database!$E$2:$E$60,MATCH($A33,Database!$A$2:$A$60,0))/100,0)</f>
        <v/>
      </c>
      <c r="I33" s="46">
        <f>IFERROR(H33*INDEX(Database!$K$2:$K$60,MATCH($A33,Database!$A$2:$A$60,0)),0)</f>
        <v/>
      </c>
      <c r="J33" s="46">
        <f>IFERROR(D33*INDEX(Database!$F$2:$F$60,MATCH($A33,Database!$A$2:$A$60,0))/100,0)</f>
        <v/>
      </c>
      <c r="K33" s="46">
        <f>IFERROR(D33*INDEX(Database!$G$2:$G$60,MATCH($A33,Database!$A$2:$A$60,0))/100,0)</f>
        <v/>
      </c>
      <c r="L33" s="46">
        <f>IFERROR(D33*INDEX(Database!$H$2:$H$60,MATCH($A33,Database!$A$2:$A$60,0))/100,0)</f>
        <v/>
      </c>
      <c r="M33" s="46">
        <f>IFERROR(D33*INDEX(Database!$I$2:$I$60,MATCH($A33,Database!$A$2:$A$60,0))/100,0)</f>
        <v/>
      </c>
      <c r="N33" s="46">
        <f>IFERROR(D33*INDEX(Database!$J$2:$J$60,MATCH($A33,Database!$A$2:$A$60,0))/100,0)</f>
        <v/>
      </c>
    </row>
    <row r="34" ht="15" customHeight="1" s="33">
      <c r="A34" s="42" t="n"/>
      <c r="B34" s="45" t="n"/>
      <c r="C34" s="42" t="n">
        <v>1</v>
      </c>
      <c r="D34" s="46">
        <f>IF(A34="",0,B34*C34)</f>
        <v/>
      </c>
      <c r="E34" s="46">
        <f>IFERROR(D34*INDEX(Database!$B$2:$B$60,MATCH($A34,Database!$A$2:$A$60,0))/100,0)</f>
        <v/>
      </c>
      <c r="F34" s="46">
        <f>IFERROR(D34*INDEX(Database!$C$2:$C$60,MATCH($A34,Database!$A$2:$A$60,0))/100,0)</f>
        <v/>
      </c>
      <c r="G34" s="46">
        <f>IFERROR(D34*INDEX(Database!$D$2:$D$60,MATCH($A34,Database!$A$2:$A$60,0))/100,0)</f>
        <v/>
      </c>
      <c r="H34" s="46">
        <f>IFERROR(D34*INDEX(Database!$E$2:$E$60,MATCH($A34,Database!$A$2:$A$60,0))/100,0)</f>
        <v/>
      </c>
      <c r="I34" s="46">
        <f>IFERROR(H34*INDEX(Database!$K$2:$K$60,MATCH($A34,Database!$A$2:$A$60,0)),0)</f>
        <v/>
      </c>
      <c r="J34" s="46">
        <f>IFERROR(D34*INDEX(Database!$F$2:$F$60,MATCH($A34,Database!$A$2:$A$60,0))/100,0)</f>
        <v/>
      </c>
      <c r="K34" s="46">
        <f>IFERROR(D34*INDEX(Database!$G$2:$G$60,MATCH($A34,Database!$A$2:$A$60,0))/100,0)</f>
        <v/>
      </c>
      <c r="L34" s="46">
        <f>IFERROR(D34*INDEX(Database!$H$2:$H$60,MATCH($A34,Database!$A$2:$A$60,0))/100,0)</f>
        <v/>
      </c>
      <c r="M34" s="46">
        <f>IFERROR(D34*INDEX(Database!$I$2:$I$60,MATCH($A34,Database!$A$2:$A$60,0))/100,0)</f>
        <v/>
      </c>
      <c r="N34" s="46">
        <f>IFERROR(D34*INDEX(Database!$J$2:$J$60,MATCH($A34,Database!$A$2:$A$60,0))/100,0)</f>
        <v/>
      </c>
    </row>
    <row r="35" ht="15" customHeight="1" s="33">
      <c r="A35" s="41" t="inlineStr">
        <is>
          <t>TOTAL in batch</t>
        </is>
      </c>
      <c r="B35" s="47">
        <f>SUM(B10:B34)</f>
        <v/>
      </c>
      <c r="D35" s="47">
        <f>SUM(D10:D34)</f>
        <v/>
      </c>
      <c r="E35" s="48">
        <f>SUM(E10:E34)</f>
        <v/>
      </c>
      <c r="F35" s="48">
        <f>SUM(F10:F34)</f>
        <v/>
      </c>
      <c r="G35" s="48">
        <f>SUM(G10:G34)</f>
        <v/>
      </c>
      <c r="H35" s="48">
        <f>SUM(H10:H34)</f>
        <v/>
      </c>
      <c r="I35" s="48">
        <f>SUM(I10:I34)</f>
        <v/>
      </c>
      <c r="J35" s="48">
        <f>SUM(J10:J34)</f>
        <v/>
      </c>
      <c r="K35" s="48">
        <f>SUM(K10:K34)</f>
        <v/>
      </c>
      <c r="L35" s="48">
        <f>SUM(L10:L34)</f>
        <v/>
      </c>
      <c r="M35" s="48">
        <f>SUM(M10:M34)</f>
        <v/>
      </c>
      <c r="N35" s="48">
        <f>SUM(N10:N34)</f>
        <v/>
      </c>
    </row>
    <row r="36" ht="15" customHeight="1" s="33">
      <c r="A36" s="49" t="inlineStr">
        <is>
          <t>PER 100 g of finished pickle</t>
        </is>
      </c>
      <c r="E36" s="50">
        <f>IF($B$5&gt;0,E35/$B$5*100,0)</f>
        <v/>
      </c>
      <c r="F36" s="50">
        <f>IF($B$5&gt;0,F35/$B$5*100,0)</f>
        <v/>
      </c>
      <c r="G36" s="50">
        <f>IF($B$5&gt;0,G35/$B$5*100,0)</f>
        <v/>
      </c>
      <c r="H36" s="50">
        <f>IF($B$5&gt;0,H35/$B$5*100,0)</f>
        <v/>
      </c>
      <c r="I36" s="50">
        <f>IF($B$5&gt;0,I35/$B$5*100,0)</f>
        <v/>
      </c>
      <c r="J36" s="50">
        <f>IF($B$5&gt;0,J35/$B$5*100,0)</f>
        <v/>
      </c>
      <c r="K36" s="50">
        <f>IF($B$5&gt;0,K35/$B$5*100,0)</f>
        <v/>
      </c>
      <c r="L36" s="50">
        <f>IF($B$5&gt;0,L35/$B$5*100,0)</f>
        <v/>
      </c>
      <c r="M36" s="50">
        <f>IF($B$5&gt;0,M35/$B$5*100,0)</f>
        <v/>
      </c>
      <c r="N36" s="50">
        <f>IF($B$5&gt;0,N35/$B$5*100,0)</f>
        <v/>
      </c>
    </row>
    <row r="38" ht="15" customHeight="1" s="33">
      <c r="A38" s="37" t="inlineStr">
        <is>
          <t>Sanity checks</t>
        </is>
      </c>
    </row>
    <row r="39" ht="15" customHeight="1" s="33">
      <c r="A39" s="51" t="inlineStr">
        <is>
          <t>Water lost in cooking (g) = weight in minus finished weight</t>
        </is>
      </c>
      <c r="B39" s="52">
        <f>D35-B5</f>
        <v/>
      </c>
    </row>
    <row r="40" ht="15" customHeight="1" s="33">
      <c r="A40" s="51" t="inlineStr">
        <is>
          <t>Yield (finished ÷ in)</t>
        </is>
      </c>
      <c r="B40" s="53">
        <f>IF(D35&gt;0,B5/D35,0)</f>
        <v/>
      </c>
    </row>
    <row r="41" ht="15" customHeight="1" s="33">
      <c r="A41" s="51" t="inlineStr">
        <is>
          <t>Energy per 100 g by Atwater (4×protein + 4×carb + 9×fat), kcal</t>
        </is>
      </c>
      <c r="B41" s="52">
        <f>4*F36+4*G36+9*J36</f>
        <v/>
      </c>
    </row>
    <row r="42" ht="15" customHeight="1" s="33">
      <c r="A42" s="51" t="inlineStr">
        <is>
          <t>Difference vs database energy (should be within ~10%)</t>
        </is>
      </c>
      <c r="B42" s="53">
        <f>IF(E36&gt;0,B41/E36-1,0)</f>
        <v/>
      </c>
    </row>
    <row r="43" ht="15" customHeight="1" s="33">
      <c r="A43" s="51" t="inlineStr">
        <is>
          <t>Salt equivalent per 100 g (g) = sodium × 2.5 ÷ 1000</t>
        </is>
      </c>
      <c r="B43" s="54">
        <f>N36*2.5/1000</f>
        <v/>
      </c>
    </row>
    <row r="44" ht="15" customHeight="1" s="33">
      <c r="A44" s="51" t="inlineStr">
        <is>
          <t>Warning if finished weight is more than weight in (impossible unless you forgot an ingredient)</t>
        </is>
      </c>
      <c r="B44" s="55">
        <f>IF(B5&gt;D35,"CHECK: finished weight exceeds inputs","OK")</f>
        <v/>
      </c>
    </row>
    <row r="46" ht="45" customHeight="1" s="33">
      <c r="A46" s="56" t="inlineStr">
        <is>
          <t>Why this works: cooking only removes water (and the vinegar's water). Every gram of protein, fat, sugar and sodium you put in stays in the pot, so the batch totals are conserved and per-100 g is simply total ÷ finished weight. The one exception is anything you throw away (drained oil, discarded skins): use the 'fraction' column for that.</t>
        </is>
      </c>
    </row>
  </sheetData>
  <mergeCells count="2">
    <mergeCell ref="A46:N46"/>
    <mergeCell ref="C8:H8"/>
  </mergeCells>
  <dataValidations count="1">
    <dataValidation sqref="A10:A34" showDropDown="0" showInputMessage="0" showErrorMessage="0" allowBlank="1" type="list" errorStyle="stop" operator="between">
      <formula1>Database!$A$2:$A$60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D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26" customWidth="1" style="32" min="2" max="2"/>
    <col width="18" customWidth="1" style="32" min="3" max="3"/>
    <col width="16" customWidth="1" style="32" min="4" max="4"/>
  </cols>
  <sheetData>
    <row r="1" ht="16.15" customHeight="1" s="33">
      <c r="A1" s="57" t="inlineStr">
        <is>
          <t>NUTRITIONAL INFORMATION</t>
        </is>
      </c>
    </row>
    <row r="2" ht="15" customHeight="1" s="33">
      <c r="A2" s="40">
        <f>"Product: "&amp;Recipe!B4</f>
        <v/>
      </c>
    </row>
    <row r="3" ht="15" customHeight="1" s="33">
      <c r="A3" s="43" t="inlineStr">
        <is>
          <t>Approximate values, calculated from ingredient composition (IFCT 2017). Rounded for label use.</t>
        </is>
      </c>
    </row>
    <row r="5" ht="15" customHeight="1" s="33">
      <c r="A5" s="58" t="inlineStr">
        <is>
          <t>Nutrient</t>
        </is>
      </c>
      <c r="B5" s="58" t="inlineStr">
        <is>
          <t>Per 100 g</t>
        </is>
      </c>
      <c r="C5" s="58">
        <f>"Per serve ("&amp;Recipe!B6&amp;" g)"</f>
        <v/>
      </c>
      <c r="D5" s="58" t="inlineStr">
        <is>
          <t>% RDA per serve*</t>
        </is>
      </c>
    </row>
    <row r="6" ht="15" customHeight="1" s="33">
      <c r="A6" s="55" t="inlineStr">
        <is>
          <t>Energy</t>
        </is>
      </c>
      <c r="B6" s="59">
        <f>ROUND(Recipe!E36,0)&amp;" kcal"</f>
        <v/>
      </c>
      <c r="C6" s="59">
        <f>ROUND(Recipe!E36*Recipe!$B$6/100,0)&amp;" kcal"</f>
        <v/>
      </c>
      <c r="D6" s="60">
        <f>ROUND(Recipe!E36*Recipe!$B$6/100/2000,2)</f>
        <v/>
      </c>
    </row>
    <row r="7" ht="15" customHeight="1" s="33">
      <c r="A7" s="55" t="inlineStr">
        <is>
          <t>Protein</t>
        </is>
      </c>
      <c r="B7" s="59">
        <f>ROUND(Recipe!F36,1)&amp;" g"</f>
        <v/>
      </c>
      <c r="C7" s="59">
        <f>ROUND(Recipe!F36*Recipe!$B$6/100,1)&amp;" g"</f>
        <v/>
      </c>
      <c r="D7" s="59" t="n"/>
    </row>
    <row r="8" ht="15" customHeight="1" s="33">
      <c r="A8" s="55" t="inlineStr">
        <is>
          <t>Carbohydrate</t>
        </is>
      </c>
      <c r="B8" s="59">
        <f>ROUND(Recipe!G36,1)&amp;" g"</f>
        <v/>
      </c>
      <c r="C8" s="59">
        <f>ROUND(Recipe!G36*Recipe!$B$6/100,1)&amp;" g"</f>
        <v/>
      </c>
      <c r="D8" s="59" t="n"/>
    </row>
    <row r="9" ht="15" customHeight="1" s="33">
      <c r="A9" s="35" t="inlineStr">
        <is>
          <t xml:space="preserve">   of which Total Sugars</t>
        </is>
      </c>
      <c r="B9" s="59">
        <f>ROUND(Recipe!H36,1)&amp;" g"</f>
        <v/>
      </c>
      <c r="C9" s="59">
        <f>ROUND(Recipe!H36*Recipe!$B$6/100,1)&amp;" g"</f>
        <v/>
      </c>
      <c r="D9" s="59" t="n"/>
    </row>
    <row r="10" ht="15" customHeight="1" s="33">
      <c r="A10" s="35" t="inlineStr">
        <is>
          <t xml:space="preserve">   of which Added Sugars</t>
        </is>
      </c>
      <c r="B10" s="59">
        <f>ROUND(Recipe!I36,1)&amp;" g"</f>
        <v/>
      </c>
      <c r="C10" s="59">
        <f>ROUND(Recipe!I36*Recipe!$B$6/100,1)&amp;" g"</f>
        <v/>
      </c>
      <c r="D10" s="60">
        <f>ROUND(Recipe!I36*Recipe!$B$6/100/50,2)</f>
        <v/>
      </c>
    </row>
    <row r="11" ht="15" customHeight="1" s="33">
      <c r="A11" s="55" t="inlineStr">
        <is>
          <t>Total Fat</t>
        </is>
      </c>
      <c r="B11" s="59">
        <f>ROUND(Recipe!J36,1)&amp;" g"</f>
        <v/>
      </c>
      <c r="C11" s="59">
        <f>ROUND(Recipe!J36*Recipe!$B$6/100,1)&amp;" g"</f>
        <v/>
      </c>
      <c r="D11" s="60">
        <f>ROUND(Recipe!J36*Recipe!$B$6/100/67,2)</f>
        <v/>
      </c>
    </row>
    <row r="12" ht="15" customHeight="1" s="33">
      <c r="A12" s="35" t="inlineStr">
        <is>
          <t xml:space="preserve">   Saturated Fat</t>
        </is>
      </c>
      <c r="B12" s="59">
        <f>ROUND(Recipe!K36,1)&amp;" g"</f>
        <v/>
      </c>
      <c r="C12" s="59">
        <f>ROUND(Recipe!K36*Recipe!$B$6/100,1)&amp;" g"</f>
        <v/>
      </c>
      <c r="D12" s="60">
        <f>ROUND(Recipe!K36*Recipe!$B$6/100/22,2)</f>
        <v/>
      </c>
    </row>
    <row r="13" ht="15" customHeight="1" s="33">
      <c r="A13" s="35" t="inlineStr">
        <is>
          <t xml:space="preserve">   Trans Fat</t>
        </is>
      </c>
      <c r="B13" s="59">
        <f>ROUND(Recipe!L36,1)&amp;" g"</f>
        <v/>
      </c>
      <c r="C13" s="59">
        <f>ROUND(Recipe!L36*Recipe!$B$6/100,1)&amp;" g"</f>
        <v/>
      </c>
      <c r="D13" s="60">
        <f>ROUND(Recipe!L36*Recipe!$B$6/100/2,2)</f>
        <v/>
      </c>
    </row>
    <row r="14" ht="15" customHeight="1" s="33">
      <c r="A14" s="35" t="inlineStr">
        <is>
          <t xml:space="preserve">   Cholesterol</t>
        </is>
      </c>
      <c r="B14" s="59">
        <f>ROUND(Recipe!M36,0)&amp;" mg"</f>
        <v/>
      </c>
      <c r="C14" s="59">
        <f>ROUND(Recipe!M36*Recipe!$B$6/100,0)&amp;" mg"</f>
        <v/>
      </c>
      <c r="D14" s="59" t="n"/>
    </row>
    <row r="15" ht="15" customHeight="1" s="33">
      <c r="A15" s="55" t="inlineStr">
        <is>
          <t>Sodium</t>
        </is>
      </c>
      <c r="B15" s="59">
        <f>ROUND(Recipe!N36,0)&amp;" mg"</f>
        <v/>
      </c>
      <c r="C15" s="59">
        <f>ROUND(Recipe!N36*Recipe!$B$6/100,0)&amp;" mg"</f>
        <v/>
      </c>
      <c r="D15" s="60">
        <f>ROUND(Recipe!N36*Recipe!$B$6/100/2000,2)</f>
        <v/>
      </c>
    </row>
    <row r="16" ht="39.75" customHeight="1" s="33">
      <c r="A16" s="61" t="inlineStr">
        <is>
          <t>*% RDA based on a 2000 kcal diet (FSSAI reference values: added sugar 50 g, total fat 67 g, saturated fat 22 g, trans fat 2 g, sodium 2000 mg). Optional on the label; mandatory only if you make a nutrition claim.</t>
        </is>
      </c>
    </row>
    <row r="18" ht="15" customHeight="1" s="33">
      <c r="A18" s="37" t="inlineStr">
        <is>
          <t>QUID: % of named ingredients (ingoing weight ÷ finished weight)</t>
        </is>
      </c>
    </row>
    <row r="19" ht="15" customHeight="1" s="33">
      <c r="A19" s="41" t="inlineStr">
        <is>
          <t>Ingredient</t>
        </is>
      </c>
      <c r="B19" s="41" t="inlineStr">
        <is>
          <t>% on label</t>
        </is>
      </c>
    </row>
    <row r="20" ht="15" customHeight="1" s="33">
      <c r="A20" s="42" t="inlineStr">
        <is>
          <t>Prawns, fresh, cleaned</t>
        </is>
      </c>
      <c r="B20" s="62">
        <f>IFERROR(SUMIFS(Recipe!$B$10:$B$34,Recipe!$A$10:$A$34,A20)/Recipe!$B$5,0)</f>
        <v/>
      </c>
    </row>
    <row r="21" ht="15" customHeight="1" s="33">
      <c r="A21" s="42" t="inlineStr">
        <is>
          <t>Dates, dried</t>
        </is>
      </c>
      <c r="B21" s="62">
        <f>IFERROR(SUMIFS(Recipe!$B$10:$B$34,Recipe!$A$10:$A$34,A21)/Recipe!$B$5,0)</f>
        <v/>
      </c>
    </row>
    <row r="23" ht="45" customHeight="1" s="33">
      <c r="A23" s="61" t="inlineStr">
        <is>
          <t>Note: FSSAI QUID uses the weight of the ingredient at the time it was added, divided by the total finished product. For prawns that fry down, this can exceed the fried weight share; that is expected and allowed. Change the ingredient name in the yellow cell to match the Recipe sheet exactly.</t>
        </is>
      </c>
    </row>
    <row r="25" ht="15" customHeight="1" s="33">
      <c r="A25" s="37" t="inlineStr">
        <is>
          <t>Ingredient list order (descending by ingoing weight, FSSAI requirement)</t>
        </is>
      </c>
    </row>
    <row r="26" ht="15" customHeight="1" s="33">
      <c r="A26" s="41" t="inlineStr">
        <is>
          <t>Rank</t>
        </is>
      </c>
      <c r="B26" s="41" t="inlineStr">
        <is>
          <t>Ingredient</t>
        </is>
      </c>
      <c r="C26" s="41" t="inlineStr">
        <is>
          <t>Weight in (g)</t>
        </is>
      </c>
      <c r="D26" s="41" t="inlineStr">
        <is>
          <t>% of finished</t>
        </is>
      </c>
    </row>
    <row r="27" ht="15" customHeight="1" s="33">
      <c r="A27" s="35" t="n">
        <v>1</v>
      </c>
      <c r="B27" s="35">
        <f>IFERROR(INDEX(Recipe!$A$10:$A$34,MATCH(C27,Recipe!$B$10:$B$34,0)+COUNTIF(C$27:C27,C27)-1),"")</f>
        <v/>
      </c>
      <c r="C27" s="35">
        <f>IFERROR(LARGE(Recipe!$B$10:$B$34,1),"")</f>
        <v/>
      </c>
      <c r="D27" s="63">
        <f>IFERROR(C27/Recipe!$B$5,"")</f>
        <v/>
      </c>
    </row>
    <row r="28" ht="15" customHeight="1" s="33">
      <c r="A28" s="35" t="n">
        <v>2</v>
      </c>
      <c r="B28" s="35">
        <f>IFERROR(INDEX(Recipe!$A$10:$A$34,MATCH(C28,Recipe!$B$10:$B$34,0)+COUNTIF(C$27:C28,C28)-1),"")</f>
        <v/>
      </c>
      <c r="C28" s="35">
        <f>IFERROR(LARGE(Recipe!$B$10:$B$34,2),"")</f>
        <v/>
      </c>
      <c r="D28" s="63">
        <f>IFERROR(C28/Recipe!$B$5,"")</f>
        <v/>
      </c>
    </row>
    <row r="29" ht="15" customHeight="1" s="33">
      <c r="A29" s="35" t="n">
        <v>3</v>
      </c>
      <c r="B29" s="35">
        <f>IFERROR(INDEX(Recipe!$A$10:$A$34,MATCH(C29,Recipe!$B$10:$B$34,0)+COUNTIF(C$27:C29,C29)-1),"")</f>
        <v/>
      </c>
      <c r="C29" s="35">
        <f>IFERROR(LARGE(Recipe!$B$10:$B$34,3),"")</f>
        <v/>
      </c>
      <c r="D29" s="63">
        <f>IFERROR(C29/Recipe!$B$5,"")</f>
        <v/>
      </c>
    </row>
    <row r="30" ht="15" customHeight="1" s="33">
      <c r="A30" s="35" t="n">
        <v>4</v>
      </c>
      <c r="B30" s="35">
        <f>IFERROR(INDEX(Recipe!$A$10:$A$34,MATCH(C30,Recipe!$B$10:$B$34,0)+COUNTIF(C$27:C30,C30)-1),"")</f>
        <v/>
      </c>
      <c r="C30" s="35">
        <f>IFERROR(LARGE(Recipe!$B$10:$B$34,4),"")</f>
        <v/>
      </c>
      <c r="D30" s="63">
        <f>IFERROR(C30/Recipe!$B$5,"")</f>
        <v/>
      </c>
    </row>
    <row r="31" ht="15" customHeight="1" s="33">
      <c r="A31" s="35" t="n">
        <v>5</v>
      </c>
      <c r="B31" s="35">
        <f>IFERROR(INDEX(Recipe!$A$10:$A$34,MATCH(C31,Recipe!$B$10:$B$34,0)+COUNTIF(C$27:C31,C31)-1),"")</f>
        <v/>
      </c>
      <c r="C31" s="35">
        <f>IFERROR(LARGE(Recipe!$B$10:$B$34,5),"")</f>
        <v/>
      </c>
      <c r="D31" s="63">
        <f>IFERROR(C31/Recipe!$B$5,"")</f>
        <v/>
      </c>
    </row>
    <row r="32" ht="15" customHeight="1" s="33">
      <c r="A32" s="35" t="n">
        <v>6</v>
      </c>
      <c r="B32" s="35">
        <f>IFERROR(INDEX(Recipe!$A$10:$A$34,MATCH(C32,Recipe!$B$10:$B$34,0)+COUNTIF(C$27:C32,C32)-1),"")</f>
        <v/>
      </c>
      <c r="C32" s="35">
        <f>IFERROR(LARGE(Recipe!$B$10:$B$34,6),"")</f>
        <v/>
      </c>
      <c r="D32" s="63">
        <f>IFERROR(C32/Recipe!$B$5,"")</f>
        <v/>
      </c>
    </row>
    <row r="33" ht="15" customHeight="1" s="33">
      <c r="A33" s="35" t="n">
        <v>7</v>
      </c>
      <c r="B33" s="35">
        <f>IFERROR(INDEX(Recipe!$A$10:$A$34,MATCH(C33,Recipe!$B$10:$B$34,0)+COUNTIF(C$27:C33,C33)-1),"")</f>
        <v/>
      </c>
      <c r="C33" s="35">
        <f>IFERROR(LARGE(Recipe!$B$10:$B$34,7),"")</f>
        <v/>
      </c>
      <c r="D33" s="63">
        <f>IFERROR(C33/Recipe!$B$5,"")</f>
        <v/>
      </c>
    </row>
    <row r="34" ht="15" customHeight="1" s="33">
      <c r="A34" s="35" t="n">
        <v>8</v>
      </c>
      <c r="B34" s="35">
        <f>IFERROR(INDEX(Recipe!$A$10:$A$34,MATCH(C34,Recipe!$B$10:$B$34,0)+COUNTIF(C$27:C34,C34)-1),"")</f>
        <v/>
      </c>
      <c r="C34" s="35">
        <f>IFERROR(LARGE(Recipe!$B$10:$B$34,8),"")</f>
        <v/>
      </c>
      <c r="D34" s="63">
        <f>IFERROR(C34/Recipe!$B$5,"")</f>
        <v/>
      </c>
    </row>
    <row r="35" ht="15" customHeight="1" s="33">
      <c r="A35" s="35" t="n">
        <v>9</v>
      </c>
      <c r="B35" s="35">
        <f>IFERROR(INDEX(Recipe!$A$10:$A$34,MATCH(C35,Recipe!$B$10:$B$34,0)+COUNTIF(C$27:C35,C35)-1),"")</f>
        <v/>
      </c>
      <c r="C35" s="35">
        <f>IFERROR(LARGE(Recipe!$B$10:$B$34,9),"")</f>
        <v/>
      </c>
      <c r="D35" s="63">
        <f>IFERROR(C35/Recipe!$B$5,"")</f>
        <v/>
      </c>
    </row>
    <row r="36" ht="15" customHeight="1" s="33">
      <c r="A36" s="35" t="n">
        <v>10</v>
      </c>
      <c r="B36" s="35">
        <f>IFERROR(INDEX(Recipe!$A$10:$A$34,MATCH(C36,Recipe!$B$10:$B$34,0)+COUNTIF(C$27:C36,C36)-1),"")</f>
        <v/>
      </c>
      <c r="C36" s="35">
        <f>IFERROR(LARGE(Recipe!$B$10:$B$34,10),"")</f>
        <v/>
      </c>
      <c r="D36" s="63">
        <f>IFERROR(C36/Recipe!$B$5,"")</f>
        <v/>
      </c>
    </row>
    <row r="37" ht="15" customHeight="1" s="33">
      <c r="A37" s="35" t="n">
        <v>11</v>
      </c>
      <c r="B37" s="35">
        <f>IFERROR(INDEX(Recipe!$A$10:$A$34,MATCH(C37,Recipe!$B$10:$B$34,0)+COUNTIF(C$27:C37,C37)-1),"")</f>
        <v/>
      </c>
      <c r="C37" s="35">
        <f>IFERROR(LARGE(Recipe!$B$10:$B$34,11),"")</f>
        <v/>
      </c>
      <c r="D37" s="63">
        <f>IFERROR(C37/Recipe!$B$5,"")</f>
        <v/>
      </c>
    </row>
    <row r="38" ht="15" customHeight="1" s="33">
      <c r="A38" s="35" t="n">
        <v>12</v>
      </c>
      <c r="B38" s="35">
        <f>IFERROR(INDEX(Recipe!$A$10:$A$34,MATCH(C38,Recipe!$B$10:$B$34,0)+COUNTIF(C$27:C38,C38)-1),"")</f>
        <v/>
      </c>
      <c r="C38" s="35">
        <f>IFERROR(LARGE(Recipe!$B$10:$B$34,12),"")</f>
        <v/>
      </c>
      <c r="D38" s="63">
        <f>IFERROR(C38/Recipe!$B$5,"")</f>
        <v/>
      </c>
    </row>
    <row r="39" ht="15" customHeight="1" s="33">
      <c r="A39" s="35" t="n">
        <v>13</v>
      </c>
      <c r="B39" s="35">
        <f>IFERROR(INDEX(Recipe!$A$10:$A$34,MATCH(C39,Recipe!$B$10:$B$34,0)+COUNTIF(C$27:C39,C39)-1),"")</f>
        <v/>
      </c>
      <c r="C39" s="35">
        <f>IFERROR(LARGE(Recipe!$B$10:$B$34,13),"")</f>
        <v/>
      </c>
      <c r="D39" s="63">
        <f>IFERROR(C39/Recipe!$B$5,"")</f>
        <v/>
      </c>
    </row>
    <row r="40" ht="15" customHeight="1" s="33">
      <c r="A40" s="35" t="n">
        <v>14</v>
      </c>
      <c r="B40" s="35">
        <f>IFERROR(INDEX(Recipe!$A$10:$A$34,MATCH(C40,Recipe!$B$10:$B$34,0)+COUNTIF(C$27:C40,C40)-1),"")</f>
        <v/>
      </c>
      <c r="C40" s="35">
        <f>IFERROR(LARGE(Recipe!$B$10:$B$34,14),"")</f>
        <v/>
      </c>
      <c r="D40" s="63">
        <f>IFERROR(C40/Recipe!$B$5,"")</f>
        <v/>
      </c>
    </row>
    <row r="41" ht="15" customHeight="1" s="33">
      <c r="A41" s="35" t="n">
        <v>15</v>
      </c>
      <c r="B41" s="35">
        <f>IFERROR(INDEX(Recipe!$A$10:$A$34,MATCH(C41,Recipe!$B$10:$B$34,0)+COUNTIF(C$27:C41,C41)-1),"")</f>
        <v/>
      </c>
      <c r="C41" s="35">
        <f>IFERROR(LARGE(Recipe!$B$10:$B$34,15),"")</f>
        <v/>
      </c>
      <c r="D41" s="63">
        <f>IFERROR(C41/Recipe!$B$5,"")</f>
        <v/>
      </c>
    </row>
    <row r="43" ht="49.5" customHeight="1" s="33">
      <c r="A43" s="61" t="inlineStr">
        <is>
          <t>Caution: ingredients with identical weights (e.g. the two chilli powders at 60 g) are listed in sheet order. Vinegar ranks high by ingoing weight but FSSAI lets you list it by what remains after cooking; your costing doc already does that. The ranking here is a starting point, not the final print order.</t>
        </is>
      </c>
    </row>
  </sheetData>
  <mergeCells count="3">
    <mergeCell ref="A23:D23"/>
    <mergeCell ref="A43:D43"/>
    <mergeCell ref="A16:D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38" customWidth="1" style="33" min="1" max="1"/>
    <col width="14" customWidth="1" style="33" min="2" max="2"/>
    <col width="16" customWidth="1" style="33" min="3" max="3"/>
    <col width="12" customWidth="1" style="33" min="4" max="4"/>
    <col width="14" customWidth="1" style="33" min="5" max="5"/>
    <col width="52" customWidth="1" style="33" min="6" max="6"/>
  </cols>
  <sheetData>
    <row r="1">
      <c r="A1" s="64" t="inlineStr">
        <is>
          <t>Batch costing (weights linked from the Recipe sheet)</t>
        </is>
      </c>
    </row>
    <row r="2">
      <c r="A2" s="65" t="inlineStr">
        <is>
          <t>Yellow cells: your prices, in ₹ per kg of the ingredient as bought. Weights come from Recipe automatically.</t>
        </is>
      </c>
    </row>
    <row r="4">
      <c r="A4" s="66" t="inlineStr">
        <is>
          <t>Ingredient</t>
        </is>
      </c>
      <c r="B4" s="66" t="inlineStr">
        <is>
          <t>Weight in (g)</t>
        </is>
      </c>
      <c r="C4" s="66" t="inlineStr">
        <is>
          <t>Price (₹ per kg)</t>
        </is>
      </c>
      <c r="D4" s="66" t="inlineStr">
        <is>
          <t>Cost (₹)</t>
        </is>
      </c>
      <c r="E4" s="66" t="inlineStr">
        <is>
          <t>% of batch cost</t>
        </is>
      </c>
      <c r="F4" s="66" t="inlineStr">
        <is>
          <t>Price note</t>
        </is>
      </c>
    </row>
    <row r="5">
      <c r="A5" s="67">
        <f>Recipe!A10</f>
        <v/>
      </c>
      <c r="B5" s="68">
        <f>Recipe!B10</f>
        <v/>
      </c>
      <c r="C5" s="69" t="n">
        <v>370</v>
      </c>
      <c r="D5" s="70">
        <f>B5*C5/1000</f>
        <v/>
      </c>
      <c r="E5" s="71">
        <f>IF($D$22&gt;0,D5/$D$22,0)</f>
        <v/>
      </c>
      <c r="F5" s="72" t="inlineStr">
        <is>
          <t>NOT GIVEN. From costing doc: ₹1,000 for 2.7 kg. Confirm.</t>
        </is>
      </c>
    </row>
    <row r="6">
      <c r="A6" s="67">
        <f>Recipe!A11</f>
        <v/>
      </c>
      <c r="B6" s="68">
        <f>Recipe!B11</f>
        <v/>
      </c>
      <c r="C6" s="69" t="n">
        <v>145</v>
      </c>
      <c r="D6" s="70">
        <f>B6*C6/1000</f>
        <v/>
      </c>
      <c r="E6" s="71">
        <f>IF($D$22&gt;0,D6/$D$22,0)</f>
        <v/>
      </c>
      <c r="F6" s="73" t="inlineStr">
        <is>
          <t>Stated</t>
        </is>
      </c>
    </row>
    <row r="7">
      <c r="A7" s="67">
        <f>Recipe!A12</f>
        <v/>
      </c>
      <c r="B7" s="68">
        <f>Recipe!B12</f>
        <v/>
      </c>
      <c r="C7" s="69" t="n">
        <v>250</v>
      </c>
      <c r="D7" s="70">
        <f>B7*C7/1000</f>
        <v/>
      </c>
      <c r="E7" s="71">
        <f>IF($D$22&gt;0,D7/$D$22,0)</f>
        <v/>
      </c>
      <c r="F7" s="73" t="inlineStr">
        <is>
          <t>Gingelly (sesame) oil. ₹230 per litre ÷ 0.92 kg per litre = ₹250 per kg. Confirmed 2026-09-04.</t>
        </is>
      </c>
    </row>
    <row r="8">
      <c r="A8" s="67">
        <f>Recipe!A13</f>
        <v/>
      </c>
      <c r="B8" s="68">
        <f>Recipe!B13</f>
        <v/>
      </c>
      <c r="C8" s="69" t="n">
        <v>11</v>
      </c>
      <c r="D8" s="70">
        <f>B8*C8/1000</f>
        <v/>
      </c>
      <c r="E8" s="71">
        <f>IF($D$22&gt;0,D8/$D$22,0)</f>
        <v/>
      </c>
      <c r="F8" s="73" t="inlineStr">
        <is>
          <t>₹11 per litre; 1 L ≈ 1 kg</t>
        </is>
      </c>
    </row>
    <row r="9">
      <c r="A9" s="67">
        <f>Recipe!A14</f>
        <v/>
      </c>
      <c r="B9" s="68">
        <f>Recipe!B14</f>
        <v/>
      </c>
      <c r="C9" s="69" t="n">
        <v>200</v>
      </c>
      <c r="D9" s="70">
        <f>B9*C9/1000</f>
        <v/>
      </c>
      <c r="E9" s="71">
        <f>IF($D$22&gt;0,D9/$D$22,0)</f>
        <v/>
      </c>
      <c r="F9" s="73" t="inlineStr">
        <is>
          <t>Stated</t>
        </is>
      </c>
    </row>
    <row r="10">
      <c r="A10" s="67">
        <f>Recipe!A15</f>
        <v/>
      </c>
      <c r="B10" s="68">
        <f>Recipe!B15</f>
        <v/>
      </c>
      <c r="C10" s="69" t="n">
        <v>50</v>
      </c>
      <c r="D10" s="70">
        <f>B10*C10/1000</f>
        <v/>
      </c>
      <c r="E10" s="71">
        <f>IF($D$22&gt;0,D10/$D$22,0)</f>
        <v/>
      </c>
      <c r="F10" s="73" t="inlineStr">
        <is>
          <t>Stated</t>
        </is>
      </c>
    </row>
    <row r="11">
      <c r="A11" s="67">
        <f>Recipe!A16</f>
        <v/>
      </c>
      <c r="B11" s="68">
        <f>Recipe!B16</f>
        <v/>
      </c>
      <c r="C11" s="69" t="n">
        <v>150</v>
      </c>
      <c r="D11" s="70">
        <f>B11*C11/1000</f>
        <v/>
      </c>
      <c r="E11" s="71">
        <f>IF($D$22&gt;0,D11/$D$22,0)</f>
        <v/>
      </c>
      <c r="F11" s="73" t="inlineStr">
        <is>
          <t>Stated</t>
        </is>
      </c>
    </row>
    <row r="12">
      <c r="A12" s="67">
        <f>Recipe!A17</f>
        <v/>
      </c>
      <c r="B12" s="68">
        <f>Recipe!B17</f>
        <v/>
      </c>
      <c r="C12" s="69" t="n">
        <v>860</v>
      </c>
      <c r="D12" s="70">
        <f>B12*C12/1000</f>
        <v/>
      </c>
      <c r="E12" s="71">
        <f>IF($D$22&gt;0,D12/$D$22,0)</f>
        <v/>
      </c>
      <c r="F12" s="73" t="inlineStr">
        <is>
          <t>Stated</t>
        </is>
      </c>
    </row>
    <row r="13">
      <c r="A13" s="67">
        <f>Recipe!A18</f>
        <v/>
      </c>
      <c r="B13" s="68">
        <f>Recipe!B18</f>
        <v/>
      </c>
      <c r="C13" s="69" t="n">
        <v>440</v>
      </c>
      <c r="D13" s="70">
        <f>B13*C13/1000</f>
        <v/>
      </c>
      <c r="E13" s="71">
        <f>IF($D$22&gt;0,D13/$D$22,0)</f>
        <v/>
      </c>
      <c r="F13" s="73" t="inlineStr">
        <is>
          <t>Stated</t>
        </is>
      </c>
    </row>
    <row r="14">
      <c r="A14" s="67">
        <f>Recipe!A19</f>
        <v/>
      </c>
      <c r="B14" s="68">
        <f>Recipe!B19</f>
        <v/>
      </c>
      <c r="C14" s="69" t="n">
        <v>70</v>
      </c>
      <c r="D14" s="70">
        <f>B14*C14/1000</f>
        <v/>
      </c>
      <c r="E14" s="71">
        <f>IF($D$22&gt;0,D14/$D$22,0)</f>
        <v/>
      </c>
      <c r="F14" s="73" t="inlineStr">
        <is>
          <t>Stated</t>
        </is>
      </c>
    </row>
    <row r="15">
      <c r="A15" s="67">
        <f>Recipe!A20</f>
        <v/>
      </c>
      <c r="B15" s="68">
        <f>Recipe!B20</f>
        <v/>
      </c>
      <c r="C15" s="69" t="n">
        <v>1350</v>
      </c>
      <c r="D15" s="70">
        <f>B15*C15/1000</f>
        <v/>
      </c>
      <c r="E15" s="71">
        <f>IF($D$22&gt;0,D15/$D$22,0)</f>
        <v/>
      </c>
      <c r="F15" s="73" t="inlineStr">
        <is>
          <t>₹27 for 20 g = ₹1,350 per kg</t>
        </is>
      </c>
    </row>
    <row r="16">
      <c r="A16" s="67">
        <f>Recipe!A21</f>
        <v/>
      </c>
      <c r="B16" s="68">
        <f>Recipe!B21</f>
        <v/>
      </c>
      <c r="C16" s="69" t="n">
        <v>120</v>
      </c>
      <c r="D16" s="70">
        <f>B16*C16/1000</f>
        <v/>
      </c>
      <c r="E16" s="71">
        <f>IF($D$22&gt;0,D16/$D$22,0)</f>
        <v/>
      </c>
      <c r="F16" s="72" t="inlineStr">
        <is>
          <t>NOT GIVEN. Placeholder. Confirm.</t>
        </is>
      </c>
    </row>
    <row r="17">
      <c r="A17" s="67">
        <f>Recipe!A22</f>
        <v/>
      </c>
      <c r="B17" s="68">
        <f>Recipe!B22</f>
        <v/>
      </c>
      <c r="C17" s="69" t="n">
        <v>120</v>
      </c>
      <c r="D17" s="70">
        <f>B17*C17/1000</f>
        <v/>
      </c>
      <c r="E17" s="71">
        <f>IF($D$22&gt;0,D17/$D$22,0)</f>
        <v/>
      </c>
      <c r="F17" s="72" t="inlineStr">
        <is>
          <t>NOT GIVEN. Placeholder. Confirm.</t>
        </is>
      </c>
    </row>
    <row r="18">
      <c r="A18" s="67">
        <f>Recipe!A23</f>
        <v/>
      </c>
      <c r="B18" s="68">
        <f>Recipe!B23</f>
        <v/>
      </c>
      <c r="C18" s="69" t="n">
        <v>400</v>
      </c>
      <c r="D18" s="70">
        <f>B18*C18/1000</f>
        <v/>
      </c>
      <c r="E18" s="71">
        <f>IF($D$22&gt;0,D18/$D$22,0)</f>
        <v/>
      </c>
      <c r="F18" s="72" t="inlineStr">
        <is>
          <t>NOT GIVEN. Placeholder. Confirm.</t>
        </is>
      </c>
    </row>
    <row r="19">
      <c r="A19" s="67">
        <f>Recipe!A24</f>
        <v/>
      </c>
      <c r="B19" s="68">
        <f>Recipe!B24</f>
        <v/>
      </c>
      <c r="C19" s="69" t="n">
        <v>30</v>
      </c>
      <c r="D19" s="70">
        <f>B19*C19/1000</f>
        <v/>
      </c>
      <c r="E19" s="71">
        <f>IF($D$22&gt;0,D19/$D$22,0)</f>
        <v/>
      </c>
      <c r="F19" s="73" t="inlineStr">
        <is>
          <t>Stated</t>
        </is>
      </c>
    </row>
    <row r="20">
      <c r="A20" s="67">
        <f>Recipe!A25</f>
        <v/>
      </c>
      <c r="B20" s="68">
        <f>Recipe!B25</f>
        <v/>
      </c>
      <c r="C20" s="69" t="n">
        <v>50</v>
      </c>
      <c r="D20" s="70">
        <f>B20*C20/1000</f>
        <v/>
      </c>
      <c r="E20" s="71">
        <f>IF($D$22&gt;0,D20/$D$22,0)</f>
        <v/>
      </c>
      <c r="F20" s="73" t="inlineStr">
        <is>
          <t>Stated (~10 g per batch)</t>
        </is>
      </c>
    </row>
    <row r="21">
      <c r="A21" s="67">
        <f>Recipe!A26</f>
        <v/>
      </c>
      <c r="B21" s="68">
        <f>Recipe!B26</f>
        <v/>
      </c>
      <c r="C21" s="69" t="n">
        <v>320</v>
      </c>
      <c r="D21" s="70">
        <f>B21*C21/1000</f>
        <v/>
      </c>
      <c r="E21" s="71">
        <f>IF($D$22&gt;0,D21/$D$22,0)</f>
        <v/>
      </c>
      <c r="F21" s="73" t="inlineStr">
        <is>
          <t>Stated; quantity not yet given</t>
        </is>
      </c>
    </row>
    <row r="22">
      <c r="A22" s="74" t="inlineStr">
        <is>
          <t>TOTAL ingredients per batch</t>
        </is>
      </c>
      <c r="B22" s="75">
        <f>SUM(B5:B21)</f>
        <v/>
      </c>
      <c r="C22" s="74" t="n"/>
      <c r="D22" s="75">
        <f>SUM(D5:D21)</f>
        <v/>
      </c>
      <c r="E22" s="74" t="n"/>
      <c r="F22" s="74" t="n"/>
    </row>
    <row r="24">
      <c r="A24" s="76" t="inlineStr">
        <is>
          <t>Per jar</t>
        </is>
      </c>
    </row>
    <row r="25">
      <c r="A25" s="77" t="inlineStr">
        <is>
          <t>Finished batch weight (g), from Recipe</t>
        </is>
      </c>
      <c r="B25" s="68">
        <f>Recipe!B5</f>
        <v/>
      </c>
    </row>
    <row r="26">
      <c r="A26" s="77" t="inlineStr">
        <is>
          <t>Jar size (g)</t>
        </is>
      </c>
      <c r="B26" s="69" t="n">
        <v>200</v>
      </c>
    </row>
    <row r="27">
      <c r="A27" s="77" t="inlineStr">
        <is>
          <t>Jars per batch</t>
        </is>
      </c>
      <c r="B27" s="78">
        <f>B25/B26</f>
        <v/>
      </c>
      <c r="C27" s="79" t="inlineStr">
        <is>
          <t>Shipping box is per order, not per jar; add separately</t>
        </is>
      </c>
    </row>
    <row r="28">
      <c r="A28" s="77" t="inlineStr">
        <is>
          <t>Ingredient cost per jar (₹)</t>
        </is>
      </c>
      <c r="B28" s="80">
        <f>D22/B27</f>
        <v/>
      </c>
    </row>
    <row r="29">
      <c r="A29" s="77" t="inlineStr">
        <is>
          <t>Ingredient cost per kg (₹)</t>
        </is>
      </c>
      <c r="B29" s="81">
        <f>D22/B25*1000</f>
        <v/>
      </c>
    </row>
    <row r="30">
      <c r="A30" s="77" t="inlineStr">
        <is>
          <t>Gas, labour, wastage per jar (₹)</t>
        </is>
      </c>
      <c r="B30" s="69" t="n">
        <v>40</v>
      </c>
      <c r="C30" s="79" t="inlineStr">
        <is>
          <t>From your costing doc; adjust</t>
        </is>
      </c>
    </row>
    <row r="31">
      <c r="A31" s="77" t="inlineStr">
        <is>
          <t>Jar, lid, label, note per jar (₹)</t>
        </is>
      </c>
      <c r="B31" s="69" t="n">
        <v>40</v>
      </c>
      <c r="C31" s="79" t="inlineStr">
        <is>
          <t>From your costing doc; adjust</t>
        </is>
      </c>
    </row>
    <row r="32">
      <c r="A32" s="77" t="inlineStr">
        <is>
          <t>All-in cost per jar (₹)</t>
        </is>
      </c>
      <c r="B32" s="80">
        <f>B28+B30+B31</f>
        <v/>
      </c>
    </row>
    <row r="33">
      <c r="A33" s="77" t="inlineStr">
        <is>
          <t>Sell price per jar (₹)</t>
        </is>
      </c>
      <c r="B33" s="69" t="n">
        <v>499</v>
      </c>
    </row>
    <row r="34">
      <c r="A34" s="77" t="inlineStr">
        <is>
          <t>Profit per jar (₹)</t>
        </is>
      </c>
      <c r="B34" s="80">
        <f>B33-B32</f>
        <v/>
      </c>
    </row>
    <row r="35">
      <c r="A35" s="77" t="inlineStr">
        <is>
          <t>Margin</t>
        </is>
      </c>
      <c r="B35" s="82">
        <f>IF(B33&gt;0,B34/B33,0)</f>
        <v/>
      </c>
    </row>
    <row r="36">
      <c r="A36" s="77" t="inlineStr">
        <is>
          <t>Profit per batch (₹)</t>
        </is>
      </c>
      <c r="B36" s="81">
        <f>B34*B27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2026-09-04T04:45:41Z</dcterms:created>
  <dcterms:modified xmlns:dcterms="http://purl.org/dc/terms/" xmlns:xsi="http://www.w3.org/2001/XMLSchema-instance" xsi:type="dcterms:W3CDTF">2026-09-04T09:00:35Z</dcterms:modified>
  <cp:revision>0</cp:revision>
</cp:coreProperties>
</file>